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compexp\"/>
    </mc:Choice>
  </mc:AlternateContent>
  <xr:revisionPtr revIDLastSave="0" documentId="13_ncr:1_{42E15BD4-C00D-4193-9F16-ADA3B5A179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2" l="1"/>
  <c r="K6" i="2"/>
  <c r="G8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9" i="2"/>
  <c r="F4" i="2"/>
  <c r="E62" i="2"/>
  <c r="E58" i="2"/>
  <c r="E30" i="2"/>
  <c r="E26" i="2"/>
  <c r="E22" i="2"/>
  <c r="E18" i="2"/>
  <c r="E54" i="2"/>
  <c r="E50" i="2"/>
  <c r="E46" i="2"/>
  <c r="E42" i="2"/>
  <c r="E38" i="2"/>
  <c r="E34" i="2"/>
  <c r="E14" i="2"/>
  <c r="K12" i="2" s="1"/>
  <c r="E10" i="2"/>
  <c r="E6" i="2"/>
  <c r="K11" i="2" s="1"/>
  <c r="E2" i="2"/>
  <c r="K3" i="2"/>
  <c r="G7" i="2"/>
  <c r="G8" i="2"/>
  <c r="B11" i="1"/>
  <c r="B10" i="1"/>
  <c r="B9" i="1"/>
  <c r="G3" i="2"/>
  <c r="G5" i="2"/>
  <c r="G6" i="2" l="1"/>
  <c r="G2" i="2"/>
  <c r="G4" i="2"/>
  <c r="K2" i="2"/>
  <c r="K8" i="1"/>
  <c r="J8" i="1"/>
  <c r="G60" i="1"/>
  <c r="G57" i="1"/>
  <c r="G54" i="1"/>
  <c r="G51" i="1"/>
  <c r="G42" i="1"/>
  <c r="G39" i="1"/>
  <c r="G36" i="1"/>
  <c r="G33" i="1"/>
  <c r="F60" i="1"/>
  <c r="F57" i="1"/>
  <c r="F54" i="1"/>
  <c r="F51" i="1"/>
  <c r="F42" i="1"/>
  <c r="F39" i="1"/>
  <c r="F33" i="1"/>
  <c r="F36" i="1"/>
  <c r="G29" i="1"/>
  <c r="G26" i="1"/>
  <c r="G23" i="1"/>
  <c r="G20" i="1"/>
  <c r="G11" i="1"/>
  <c r="G8" i="1"/>
  <c r="G5" i="1"/>
  <c r="G2" i="1"/>
  <c r="F29" i="1"/>
  <c r="F26" i="1"/>
  <c r="F23" i="1"/>
  <c r="F20" i="1"/>
  <c r="F11" i="1"/>
  <c r="F8" i="1"/>
  <c r="F5" i="1"/>
  <c r="F2" i="1"/>
</calcChain>
</file>

<file path=xl/sharedStrings.xml><?xml version="1.0" encoding="utf-8"?>
<sst xmlns="http://schemas.openxmlformats.org/spreadsheetml/2006/main" count="236" uniqueCount="137">
  <si>
    <t>source</t>
  </si>
  <si>
    <t>protists</t>
  </si>
  <si>
    <t>HP-6 E</t>
  </si>
  <si>
    <t>30B-1</t>
  </si>
  <si>
    <t>30B-2</t>
  </si>
  <si>
    <t>30B-3</t>
  </si>
  <si>
    <t>30B-4</t>
  </si>
  <si>
    <t>30B-5</t>
  </si>
  <si>
    <t>30B-6</t>
  </si>
  <si>
    <t>30B-7</t>
  </si>
  <si>
    <t>30B-8</t>
  </si>
  <si>
    <t>30B-9</t>
  </si>
  <si>
    <t>30B-10</t>
  </si>
  <si>
    <t>B</t>
  </si>
  <si>
    <t>C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</si>
  <si>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</si>
  <si>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</si>
  <si>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</si>
  <si>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</si>
  <si>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</si>
  <si>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</si>
  <si>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</si>
  <si>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</si>
  <si>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</si>
  <si>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</si>
  <si>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species</t>
  </si>
  <si>
    <t>rotifer</t>
  </si>
  <si>
    <t>temp</t>
  </si>
  <si>
    <t>both</t>
  </si>
  <si>
    <t>tube</t>
  </si>
  <si>
    <t>vol_r</t>
  </si>
  <si>
    <t>vol_p</t>
  </si>
  <si>
    <t>topoff</t>
  </si>
  <si>
    <t>25-1B</t>
  </si>
  <si>
    <t>conc/ml</t>
  </si>
  <si>
    <t>25-2B</t>
  </si>
  <si>
    <t>25-3B</t>
  </si>
  <si>
    <t>25-4B</t>
  </si>
  <si>
    <t>25-7B</t>
  </si>
  <si>
    <t>25-8B</t>
  </si>
  <si>
    <t>25-9B</t>
  </si>
  <si>
    <t>30-1B</t>
  </si>
  <si>
    <t>30-2B</t>
  </si>
  <si>
    <t>30-4B</t>
  </si>
  <si>
    <t>30-7B</t>
  </si>
  <si>
    <t>30-8B</t>
  </si>
  <si>
    <t>30-9B</t>
  </si>
  <si>
    <t>30-10B</t>
  </si>
  <si>
    <t>25-10B</t>
  </si>
  <si>
    <t>30-3C</t>
  </si>
  <si>
    <t>protist</t>
  </si>
  <si>
    <t>avg</t>
  </si>
  <si>
    <t>per ml</t>
  </si>
  <si>
    <t>per .1 ml</t>
  </si>
  <si>
    <t>1a</t>
  </si>
  <si>
    <t>1b</t>
  </si>
  <si>
    <t>1c</t>
  </si>
  <si>
    <t>1d</t>
  </si>
  <si>
    <t>1e</t>
  </si>
  <si>
    <t>1f</t>
  </si>
  <si>
    <t>1g</t>
  </si>
  <si>
    <t>1h</t>
  </si>
  <si>
    <t>reqVol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</si>
  <si>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</si>
  <si>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</si>
  <si>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</si>
  <si>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</si>
  <si>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</si>
  <si>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</si>
  <si>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</si>
  <si>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</si>
  <si>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</si>
  <si>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</si>
  <si>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</si>
  <si>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</si>
  <si>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</si>
  <si>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</si>
  <si>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</si>
  <si>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</si>
  <si>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</si>
  <si>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</si>
  <si>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</si>
  <si>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</si>
  <si>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</si>
  <si>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</si>
  <si>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</si>
  <si>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</si>
  <si>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</si>
  <si>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</si>
  <si>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</si>
  <si>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</si>
  <si>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</si>
  <si>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</si>
  <si>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</si>
  <si>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</si>
  <si>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</si>
  <si>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</si>
  <si>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</si>
  <si>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</si>
  <si>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</si>
  <si>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</si>
  <si>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</si>
  <si>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</si>
  <si>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</si>
  <si>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</si>
  <si>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</si>
  <si>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</si>
  <si>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</si>
  <si>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</si>
  <si>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</si>
  <si>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</si>
  <si>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</si>
  <si>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</si>
  <si>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</si>
  <si>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</si>
  <si>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</si>
  <si>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</si>
  <si>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</si>
  <si>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</si>
  <si>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</si>
  <si>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</si>
  <si>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</si>
  <si>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</si>
  <si>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</si>
  <si>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</si>
  <si>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</si>
  <si>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</si>
  <si>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</si>
  <si>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</si>
  <si>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</si>
  <si>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</si>
  <si>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</si>
  <si>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</si>
  <si>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10h</t>
  </si>
  <si>
    <t>10g</t>
  </si>
  <si>
    <t>total media:</t>
  </si>
  <si>
    <t>total 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</si>
</sst>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0" fillId="0" borderId="0" xfId="0" applyFont="1"/>
  </cellXfs>
  <cellStyles count="2">
    <cellStyle name="Normal" xfId="0" builtinId="0"/>
    <cellStyle name="Normal 2" xfId="1" xr:uid="{6E558D23-8022-498D-A4D1-331115ED2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A25" workbookViewId="0">
      <selection activeCell="L51" sqref="L5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0</v>
      </c>
      <c r="E1" t="s">
        <v>13</v>
      </c>
      <c r="I1" t="s">
        <v>14</v>
      </c>
    </row>
    <row r="2" spans="1:11" x14ac:dyDescent="0.25">
      <c r="A2" t="s">
        <v>2</v>
      </c>
      <c r="B2">
        <v>79</v>
      </c>
      <c r="D2" t="s">
        <v>3</v>
      </c>
      <c r="E2">
        <v>27</v>
      </c>
      <c r="F2">
        <f>AVERAGE(E2:E4)</f>
        <v>27.666666666666668</v>
      </c>
      <c r="G2">
        <f>F2/0.3</f>
        <v>92.222222222222229</v>
      </c>
      <c r="I2">
        <v>21</v>
      </c>
    </row>
    <row r="3" spans="1:11" x14ac:dyDescent="0.25">
      <c r="B3">
        <v>79</v>
      </c>
      <c r="E3">
        <v>28</v>
      </c>
      <c r="I3">
        <v>32</v>
      </c>
    </row>
    <row r="4" spans="1:11" x14ac:dyDescent="0.25">
      <c r="B4">
        <v>87</v>
      </c>
      <c r="E4">
        <v>28</v>
      </c>
      <c r="I4">
        <v>25</v>
      </c>
    </row>
    <row r="5" spans="1:11" x14ac:dyDescent="0.25">
      <c r="B5">
        <v>64</v>
      </c>
      <c r="D5" t="s">
        <v>4</v>
      </c>
      <c r="E5">
        <v>31</v>
      </c>
      <c r="F5">
        <f>AVERAGE(E5:E7)</f>
        <v>34.333333333333336</v>
      </c>
      <c r="G5">
        <f>F5/0.3</f>
        <v>114.44444444444446</v>
      </c>
    </row>
    <row r="6" spans="1:11" x14ac:dyDescent="0.25">
      <c r="B6">
        <v>72</v>
      </c>
      <c r="E6">
        <v>35</v>
      </c>
    </row>
    <row r="7" spans="1:11" x14ac:dyDescent="0.25">
      <c r="E7">
        <v>37</v>
      </c>
    </row>
    <row r="8" spans="1:11" x14ac:dyDescent="0.25">
      <c r="D8" t="s">
        <v>5</v>
      </c>
      <c r="E8">
        <v>28</v>
      </c>
      <c r="F8">
        <f>AVERAGE(E8:E10)</f>
        <v>28.666666666666668</v>
      </c>
      <c r="G8">
        <f>F8/0.3</f>
        <v>95.555555555555557</v>
      </c>
      <c r="I8">
        <v>55</v>
      </c>
      <c r="J8">
        <f>AVERAGE(I8:I10)</f>
        <v>47</v>
      </c>
      <c r="K8">
        <f>J8/0.3</f>
        <v>156.66666666666669</v>
      </c>
    </row>
    <row r="9" spans="1:11" x14ac:dyDescent="0.25">
      <c r="A9" t="s">
        <v>51</v>
      </c>
      <c r="B9">
        <f>AVERAGE(B2:B6)</f>
        <v>76.2</v>
      </c>
      <c r="E9">
        <v>27</v>
      </c>
      <c r="I9">
        <v>54</v>
      </c>
    </row>
    <row r="10" spans="1:11" x14ac:dyDescent="0.25">
      <c r="A10" t="s">
        <v>53</v>
      </c>
      <c r="B10">
        <f>B9*6.8</f>
        <v>518.16</v>
      </c>
      <c r="E10">
        <v>31</v>
      </c>
      <c r="I10">
        <v>32</v>
      </c>
    </row>
    <row r="11" spans="1:11" x14ac:dyDescent="0.25">
      <c r="A11" t="s">
        <v>52</v>
      </c>
      <c r="B11">
        <f>B10*10</f>
        <v>5181.5999999999995</v>
      </c>
      <c r="D11" t="s">
        <v>6</v>
      </c>
      <c r="E11">
        <v>31</v>
      </c>
      <c r="F11">
        <f>AVERAGE(E11:E13)</f>
        <v>35.333333333333336</v>
      </c>
      <c r="G11">
        <f>F11/0.3</f>
        <v>117.77777777777779</v>
      </c>
    </row>
    <row r="12" spans="1:11" x14ac:dyDescent="0.25">
      <c r="E12">
        <v>34</v>
      </c>
    </row>
    <row r="13" spans="1:11" x14ac:dyDescent="0.25">
      <c r="E13">
        <v>41</v>
      </c>
    </row>
    <row r="14" spans="1:11" x14ac:dyDescent="0.25">
      <c r="D14" t="s">
        <v>7</v>
      </c>
      <c r="E14">
        <v>0</v>
      </c>
      <c r="I14">
        <v>0</v>
      </c>
    </row>
    <row r="15" spans="1:11" x14ac:dyDescent="0.25">
      <c r="E15">
        <v>0</v>
      </c>
    </row>
    <row r="16" spans="1:11" x14ac:dyDescent="0.25">
      <c r="E16">
        <v>0</v>
      </c>
    </row>
    <row r="17" spans="4:9" x14ac:dyDescent="0.25">
      <c r="D17" t="s">
        <v>8</v>
      </c>
      <c r="E17">
        <v>0</v>
      </c>
      <c r="I17">
        <v>0</v>
      </c>
    </row>
    <row r="18" spans="4:9" x14ac:dyDescent="0.25">
      <c r="E18">
        <v>0</v>
      </c>
    </row>
    <row r="19" spans="4:9" x14ac:dyDescent="0.25">
      <c r="E19">
        <v>0</v>
      </c>
    </row>
    <row r="20" spans="4:9" x14ac:dyDescent="0.25">
      <c r="D20" t="s">
        <v>9</v>
      </c>
      <c r="E20">
        <v>49</v>
      </c>
      <c r="F20">
        <f>AVERAGE(E20:E22)</f>
        <v>56.666666666666664</v>
      </c>
      <c r="G20">
        <f>F20/0.3</f>
        <v>188.88888888888889</v>
      </c>
    </row>
    <row r="21" spans="4:9" x14ac:dyDescent="0.25">
      <c r="E21">
        <v>63</v>
      </c>
    </row>
    <row r="22" spans="4:9" x14ac:dyDescent="0.25">
      <c r="E22">
        <v>58</v>
      </c>
    </row>
    <row r="23" spans="4:9" x14ac:dyDescent="0.25">
      <c r="D23" t="s">
        <v>10</v>
      </c>
      <c r="E23">
        <v>60</v>
      </c>
      <c r="F23">
        <f>AVERAGE(E23:E25)</f>
        <v>58</v>
      </c>
      <c r="G23">
        <f>F23/0.3</f>
        <v>193.33333333333334</v>
      </c>
    </row>
    <row r="24" spans="4:9" x14ac:dyDescent="0.25">
      <c r="E24">
        <v>53</v>
      </c>
    </row>
    <row r="25" spans="4:9" x14ac:dyDescent="0.25">
      <c r="E25">
        <v>61</v>
      </c>
    </row>
    <row r="26" spans="4:9" x14ac:dyDescent="0.25">
      <c r="D26" t="s">
        <v>11</v>
      </c>
      <c r="E26">
        <v>44</v>
      </c>
      <c r="F26">
        <f>AVERAGE(E26:E28)</f>
        <v>47.666666666666664</v>
      </c>
      <c r="G26">
        <f>F26/0.3</f>
        <v>158.88888888888889</v>
      </c>
    </row>
    <row r="27" spans="4:9" x14ac:dyDescent="0.25">
      <c r="E27">
        <v>49</v>
      </c>
    </row>
    <row r="28" spans="4:9" x14ac:dyDescent="0.25">
      <c r="E28">
        <v>50</v>
      </c>
    </row>
    <row r="29" spans="4:9" x14ac:dyDescent="0.25">
      <c r="D29" t="s">
        <v>12</v>
      </c>
      <c r="E29">
        <v>46</v>
      </c>
      <c r="F29">
        <f>AVERAGE(E29:E31)</f>
        <v>51</v>
      </c>
      <c r="G29">
        <f>F29/0.3</f>
        <v>170</v>
      </c>
    </row>
    <row r="30" spans="4:9" x14ac:dyDescent="0.25">
      <c r="E30">
        <v>54</v>
      </c>
    </row>
    <row r="31" spans="4:9" x14ac:dyDescent="0.25">
      <c r="E31">
        <v>53</v>
      </c>
    </row>
    <row r="33" spans="4:7" x14ac:dyDescent="0.25">
      <c r="D33" t="s">
        <v>15</v>
      </c>
      <c r="E33">
        <v>97</v>
      </c>
      <c r="F33">
        <f>AVERAGE(E33:E35)</f>
        <v>98</v>
      </c>
      <c r="G33">
        <f>F33/0.3</f>
        <v>326.66666666666669</v>
      </c>
    </row>
    <row r="34" spans="4:7" x14ac:dyDescent="0.25">
      <c r="E34">
        <v>105</v>
      </c>
    </row>
    <row r="35" spans="4:7" x14ac:dyDescent="0.25">
      <c r="E35">
        <v>92</v>
      </c>
    </row>
    <row r="36" spans="4:7" x14ac:dyDescent="0.25">
      <c r="D36" t="s">
        <v>16</v>
      </c>
      <c r="E36">
        <v>86</v>
      </c>
      <c r="F36">
        <f>AVERAGE(E36:E38)</f>
        <v>90</v>
      </c>
      <c r="G36">
        <f>F36/0.3</f>
        <v>300</v>
      </c>
    </row>
    <row r="37" spans="4:7" x14ac:dyDescent="0.25">
      <c r="E37">
        <v>102</v>
      </c>
    </row>
    <row r="38" spans="4:7" x14ac:dyDescent="0.25">
      <c r="E38">
        <v>82</v>
      </c>
    </row>
    <row r="39" spans="4:7" x14ac:dyDescent="0.25">
      <c r="D39" t="s">
        <v>17</v>
      </c>
      <c r="E39">
        <v>90</v>
      </c>
      <c r="F39">
        <f>AVERAGE(E39:E41)</f>
        <v>80.666666666666671</v>
      </c>
      <c r="G39">
        <f>F39/0.3</f>
        <v>268.88888888888891</v>
      </c>
    </row>
    <row r="40" spans="4:7" x14ac:dyDescent="0.25">
      <c r="E40">
        <v>64</v>
      </c>
    </row>
    <row r="41" spans="4:7" x14ac:dyDescent="0.25">
      <c r="E41">
        <v>88</v>
      </c>
    </row>
    <row r="42" spans="4:7" x14ac:dyDescent="0.25">
      <c r="D42" t="s">
        <v>18</v>
      </c>
      <c r="E42">
        <v>84</v>
      </c>
      <c r="F42">
        <f>AVERAGE(E42:E44)</f>
        <v>79.666666666666671</v>
      </c>
      <c r="G42">
        <f>F42/0.3</f>
        <v>265.5555555555556</v>
      </c>
    </row>
    <row r="43" spans="4:7" x14ac:dyDescent="0.25">
      <c r="E43">
        <v>74</v>
      </c>
    </row>
    <row r="44" spans="4:7" x14ac:dyDescent="0.25">
      <c r="E44">
        <v>81</v>
      </c>
    </row>
    <row r="45" spans="4:7" x14ac:dyDescent="0.25">
      <c r="D45" t="s">
        <v>19</v>
      </c>
    </row>
    <row r="48" spans="4:7" x14ac:dyDescent="0.25">
      <c r="D48" t="s">
        <v>20</v>
      </c>
    </row>
    <row r="51" spans="4:7" x14ac:dyDescent="0.25">
      <c r="D51" t="s">
        <v>21</v>
      </c>
      <c r="E51">
        <v>17</v>
      </c>
      <c r="F51">
        <f>AVERAGE(E51:E53)</f>
        <v>17.333333333333332</v>
      </c>
      <c r="G51">
        <f>F51/0.3</f>
        <v>57.777777777777779</v>
      </c>
    </row>
    <row r="52" spans="4:7" x14ac:dyDescent="0.25">
      <c r="E52">
        <v>23</v>
      </c>
    </row>
    <row r="53" spans="4:7" x14ac:dyDescent="0.25">
      <c r="E53">
        <v>12</v>
      </c>
    </row>
    <row r="54" spans="4:7" x14ac:dyDescent="0.25">
      <c r="D54" t="s">
        <v>22</v>
      </c>
      <c r="E54">
        <v>66</v>
      </c>
      <c r="F54">
        <f>AVERAGE(E54:E56)</f>
        <v>70</v>
      </c>
      <c r="G54">
        <f>F54/0.3</f>
        <v>233.33333333333334</v>
      </c>
    </row>
    <row r="55" spans="4:7" x14ac:dyDescent="0.25">
      <c r="E55">
        <v>89</v>
      </c>
    </row>
    <row r="56" spans="4:7" x14ac:dyDescent="0.25">
      <c r="E56">
        <v>55</v>
      </c>
    </row>
    <row r="57" spans="4:7" x14ac:dyDescent="0.25">
      <c r="D57" t="s">
        <v>23</v>
      </c>
      <c r="E57">
        <v>86</v>
      </c>
      <c r="F57">
        <f>AVERAGE(E57:E59)</f>
        <v>79</v>
      </c>
      <c r="G57">
        <f>F57/0.3</f>
        <v>263.33333333333337</v>
      </c>
    </row>
    <row r="58" spans="4:7" x14ac:dyDescent="0.25">
      <c r="E58">
        <v>77</v>
      </c>
    </row>
    <row r="59" spans="4:7" x14ac:dyDescent="0.25">
      <c r="E59">
        <v>74</v>
      </c>
    </row>
    <row r="60" spans="4:7" x14ac:dyDescent="0.25">
      <c r="D60" t="s">
        <v>24</v>
      </c>
      <c r="E60">
        <v>84</v>
      </c>
      <c r="F60">
        <f>AVERAGE(E60:E62)</f>
        <v>85.333333333333329</v>
      </c>
      <c r="G60">
        <f>F60/0.3</f>
        <v>284.44444444444446</v>
      </c>
    </row>
    <row r="61" spans="4:7" x14ac:dyDescent="0.25">
      <c r="E61">
        <v>85</v>
      </c>
    </row>
    <row r="62" spans="4:7" x14ac:dyDescent="0.25">
      <c r="E62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713C-7DDD-45D9-8A73-8BB001D7D542}">
  <dimension ref="A1:K84"/>
  <sheetViews>
    <sheetView tabSelected="1" zoomScaleNormal="100" workbookViewId="0">
      <selection activeCell="F87" sqref="F87"/>
    </sheetView>
  </sheetViews>
  <sheetFormatPr defaultRowHeight="15" x14ac:dyDescent="0.25"/>
  <cols>
    <col min="1" max="1" width="8.28515625" customWidth="1"/>
  </cols>
  <sheetData>
    <row r="1" spans="1:11" x14ac:dyDescent="0.25">
      <c r="A1" t="s">
        <v>29</v>
      </c>
      <c r="B1" t="s">
        <v>0</v>
      </c>
      <c r="C1" t="s">
        <v>25</v>
      </c>
      <c r="D1" t="s">
        <v>27</v>
      </c>
      <c r="E1" t="s">
        <v>30</v>
      </c>
      <c r="F1" t="s">
        <v>31</v>
      </c>
      <c r="G1" t="s">
        <v>32</v>
      </c>
      <c r="I1" t="s">
        <v>0</v>
      </c>
      <c r="J1" t="s">
        <v>34</v>
      </c>
      <c r="K1" t="s">
        <v>62</v>
      </c>
    </row>
    <row r="2" spans="1:11" x14ac:dyDescent="0.25">
      <c r="A2" t="s">
        <v>54</v>
      </c>
      <c r="B2" t="s">
        <v>33</v>
      </c>
      <c r="C2" t="s">
        <v>26</v>
      </c>
      <c r="D2">
        <v>25</v>
      </c>
      <c r="E2">
        <f>300/$J$2</f>
        <v>0.91836734693877542</v>
      </c>
      <c r="G2">
        <f>15-SUM(E2:F2)</f>
        <v>14.081632653061224</v>
      </c>
      <c r="I2" t="s">
        <v>33</v>
      </c>
      <c r="J2">
        <v>326.66666666666669</v>
      </c>
      <c r="K2">
        <f>SUM(E2:E5)</f>
        <v>3.6734693877551017</v>
      </c>
    </row>
    <row r="3" spans="1:11" x14ac:dyDescent="0.25">
      <c r="A3" t="s">
        <v>55</v>
      </c>
      <c r="C3" t="s">
        <v>26</v>
      </c>
      <c r="D3">
        <v>30</v>
      </c>
      <c r="E3">
        <v>0.91836734693877542</v>
      </c>
      <c r="G3">
        <f t="shared" ref="G3:G9" si="0">15-SUM(E3:F3)</f>
        <v>14.081632653061224</v>
      </c>
      <c r="I3" t="s">
        <v>35</v>
      </c>
      <c r="J3">
        <v>300</v>
      </c>
      <c r="K3">
        <f>SUM(E10:E13)</f>
        <v>4</v>
      </c>
    </row>
    <row r="4" spans="1:11" x14ac:dyDescent="0.25">
      <c r="A4" t="s">
        <v>56</v>
      </c>
      <c r="C4" t="s">
        <v>28</v>
      </c>
      <c r="D4">
        <v>25</v>
      </c>
      <c r="E4">
        <v>0.91836734693877542</v>
      </c>
      <c r="F4">
        <f>600/$J$20</f>
        <v>0.11579434923575731</v>
      </c>
      <c r="G4">
        <f t="shared" si="0"/>
        <v>13.965838303825468</v>
      </c>
      <c r="I4" t="s">
        <v>36</v>
      </c>
      <c r="J4">
        <v>268.88888888888891</v>
      </c>
    </row>
    <row r="5" spans="1:11" x14ac:dyDescent="0.25">
      <c r="A5" t="s">
        <v>57</v>
      </c>
      <c r="C5" t="s">
        <v>28</v>
      </c>
      <c r="D5">
        <v>30</v>
      </c>
      <c r="E5">
        <v>0.91836734693877542</v>
      </c>
      <c r="F5">
        <v>0.11579434923575731</v>
      </c>
      <c r="G5">
        <f t="shared" si="0"/>
        <v>13.965838303825468</v>
      </c>
      <c r="I5" t="s">
        <v>37</v>
      </c>
      <c r="J5">
        <v>265.5555555555556</v>
      </c>
    </row>
    <row r="6" spans="1:11" x14ac:dyDescent="0.25">
      <c r="A6" t="s">
        <v>58</v>
      </c>
      <c r="B6" t="s">
        <v>41</v>
      </c>
      <c r="C6" t="s">
        <v>26</v>
      </c>
      <c r="D6">
        <v>25</v>
      </c>
      <c r="E6">
        <f>300/$J$11</f>
        <v>3.2530120481927707</v>
      </c>
      <c r="G6">
        <f t="shared" si="0"/>
        <v>11.746987951807229</v>
      </c>
      <c r="I6" s="2" t="s">
        <v>38</v>
      </c>
      <c r="J6" s="2">
        <v>57.777777777777779</v>
      </c>
      <c r="K6" s="2">
        <f>SUM(E58:E61)</f>
        <v>20.76923076923077</v>
      </c>
    </row>
    <row r="7" spans="1:11" x14ac:dyDescent="0.25">
      <c r="A7" t="s">
        <v>59</v>
      </c>
      <c r="C7" t="s">
        <v>26</v>
      </c>
      <c r="D7">
        <v>30</v>
      </c>
      <c r="E7">
        <v>3.2530120481927707</v>
      </c>
      <c r="G7">
        <f t="shared" si="0"/>
        <v>11.746987951807229</v>
      </c>
      <c r="I7" t="s">
        <v>39</v>
      </c>
      <c r="J7">
        <v>233.33333333333334</v>
      </c>
    </row>
    <row r="8" spans="1:11" x14ac:dyDescent="0.25">
      <c r="A8" t="s">
        <v>60</v>
      </c>
      <c r="C8" t="s">
        <v>28</v>
      </c>
      <c r="D8">
        <v>25</v>
      </c>
      <c r="E8">
        <v>3.2530120481927707</v>
      </c>
      <c r="F8">
        <v>0.11579434923575731</v>
      </c>
      <c r="G8">
        <f t="shared" si="0"/>
        <v>11.631193602571472</v>
      </c>
      <c r="I8" t="s">
        <v>40</v>
      </c>
      <c r="J8">
        <v>263.33333333333337</v>
      </c>
    </row>
    <row r="9" spans="1:11" x14ac:dyDescent="0.25">
      <c r="A9" t="s">
        <v>61</v>
      </c>
      <c r="C9" t="s">
        <v>28</v>
      </c>
      <c r="D9">
        <v>30</v>
      </c>
      <c r="E9">
        <v>3.2530120481927707</v>
      </c>
      <c r="F9">
        <v>0.11579434923575731</v>
      </c>
      <c r="G9">
        <f>15-SUM(E9:F9)</f>
        <v>11.631193602571472</v>
      </c>
      <c r="I9" t="s">
        <v>48</v>
      </c>
      <c r="J9">
        <v>284.44444444444446</v>
      </c>
    </row>
    <row r="10" spans="1:11" x14ac:dyDescent="0.25">
      <c r="A10" t="s">
        <v>63</v>
      </c>
      <c r="B10" t="s">
        <v>35</v>
      </c>
      <c r="C10" t="s">
        <v>26</v>
      </c>
      <c r="D10">
        <v>25</v>
      </c>
      <c r="E10">
        <f>300/$J$3</f>
        <v>1</v>
      </c>
      <c r="G10">
        <f t="shared" ref="G10:G73" si="1">15-SUM(E10:F10)</f>
        <v>14</v>
      </c>
    </row>
    <row r="11" spans="1:11" x14ac:dyDescent="0.25">
      <c r="A11" t="s">
        <v>64</v>
      </c>
      <c r="C11" t="s">
        <v>26</v>
      </c>
      <c r="D11">
        <v>30</v>
      </c>
      <c r="E11">
        <v>1</v>
      </c>
      <c r="G11">
        <f t="shared" si="1"/>
        <v>14</v>
      </c>
      <c r="I11" t="s">
        <v>41</v>
      </c>
      <c r="J11">
        <v>92.222222222222229</v>
      </c>
      <c r="K11">
        <f>SUM(E6:E9)</f>
        <v>13.012048192771083</v>
      </c>
    </row>
    <row r="12" spans="1:11" x14ac:dyDescent="0.25">
      <c r="A12" t="s">
        <v>65</v>
      </c>
      <c r="C12" t="s">
        <v>28</v>
      </c>
      <c r="D12">
        <v>25</v>
      </c>
      <c r="E12">
        <v>1</v>
      </c>
      <c r="F12">
        <v>0.11579434923575731</v>
      </c>
      <c r="G12">
        <f t="shared" si="1"/>
        <v>13.884205650764242</v>
      </c>
      <c r="I12" t="s">
        <v>42</v>
      </c>
      <c r="J12">
        <v>114.44444444444446</v>
      </c>
      <c r="K12">
        <f>SUM(E14:E17)</f>
        <v>10.485436893203882</v>
      </c>
    </row>
    <row r="13" spans="1:11" x14ac:dyDescent="0.25">
      <c r="A13" t="s">
        <v>66</v>
      </c>
      <c r="C13" t="s">
        <v>28</v>
      </c>
      <c r="D13">
        <v>30</v>
      </c>
      <c r="E13">
        <v>1</v>
      </c>
      <c r="F13">
        <v>0.11579434923575731</v>
      </c>
      <c r="G13">
        <f t="shared" si="1"/>
        <v>13.884205650764242</v>
      </c>
      <c r="I13" t="s">
        <v>49</v>
      </c>
      <c r="J13">
        <v>156.66666666666669</v>
      </c>
    </row>
    <row r="14" spans="1:11" x14ac:dyDescent="0.25">
      <c r="A14" t="s">
        <v>67</v>
      </c>
      <c r="B14" t="s">
        <v>42</v>
      </c>
      <c r="C14" t="s">
        <v>26</v>
      </c>
      <c r="D14">
        <v>25</v>
      </c>
      <c r="E14">
        <f>300/$J$12</f>
        <v>2.6213592233009706</v>
      </c>
      <c r="G14">
        <f t="shared" si="1"/>
        <v>12.378640776699029</v>
      </c>
      <c r="I14" t="s">
        <v>43</v>
      </c>
      <c r="J14">
        <v>117.77777777777779</v>
      </c>
    </row>
    <row r="15" spans="1:11" x14ac:dyDescent="0.25">
      <c r="A15" t="s">
        <v>68</v>
      </c>
      <c r="C15" t="s">
        <v>26</v>
      </c>
      <c r="D15">
        <v>30</v>
      </c>
      <c r="E15">
        <v>2.6213592233009706</v>
      </c>
      <c r="G15">
        <f t="shared" si="1"/>
        <v>12.378640776699029</v>
      </c>
      <c r="I15" s="2" t="s">
        <v>44</v>
      </c>
      <c r="J15" s="2">
        <v>188.88888888888889</v>
      </c>
      <c r="K15" s="1"/>
    </row>
    <row r="16" spans="1:11" x14ac:dyDescent="0.25">
      <c r="A16" t="s">
        <v>69</v>
      </c>
      <c r="C16" t="s">
        <v>28</v>
      </c>
      <c r="D16">
        <v>25</v>
      </c>
      <c r="E16">
        <v>2.6213592233009706</v>
      </c>
      <c r="F16">
        <v>0.11579434923575731</v>
      </c>
      <c r="G16">
        <f t="shared" si="1"/>
        <v>12.262846427463272</v>
      </c>
      <c r="I16" t="s">
        <v>45</v>
      </c>
      <c r="J16">
        <v>193.33333333333334</v>
      </c>
    </row>
    <row r="17" spans="1:10" x14ac:dyDescent="0.25">
      <c r="A17" t="s">
        <v>70</v>
      </c>
      <c r="C17" t="s">
        <v>28</v>
      </c>
      <c r="D17">
        <v>30</v>
      </c>
      <c r="E17">
        <v>2.6213592233009706</v>
      </c>
      <c r="F17">
        <v>0.11579434923575731</v>
      </c>
      <c r="G17">
        <f t="shared" si="1"/>
        <v>12.262846427463272</v>
      </c>
      <c r="I17" t="s">
        <v>46</v>
      </c>
      <c r="J17">
        <v>158.88888888888889</v>
      </c>
    </row>
    <row r="18" spans="1:10" x14ac:dyDescent="0.25">
      <c r="A18" t="s">
        <v>71</v>
      </c>
      <c r="B18" t="s">
        <v>36</v>
      </c>
      <c r="C18" t="s">
        <v>26</v>
      </c>
      <c r="D18">
        <v>25</v>
      </c>
      <c r="E18">
        <f>300/J4</f>
        <v>1.1157024793388428</v>
      </c>
      <c r="G18">
        <f t="shared" si="1"/>
        <v>13.884297520661157</v>
      </c>
      <c r="I18" t="s">
        <v>47</v>
      </c>
      <c r="J18">
        <v>170</v>
      </c>
    </row>
    <row r="19" spans="1:10" x14ac:dyDescent="0.25">
      <c r="A19" t="s">
        <v>72</v>
      </c>
      <c r="C19" t="s">
        <v>26</v>
      </c>
      <c r="D19">
        <v>30</v>
      </c>
      <c r="E19">
        <v>1.1157024793388428</v>
      </c>
      <c r="G19">
        <f t="shared" si="1"/>
        <v>13.884297520661157</v>
      </c>
    </row>
    <row r="20" spans="1:10" x14ac:dyDescent="0.25">
      <c r="A20" t="s">
        <v>73</v>
      </c>
      <c r="C20" t="s">
        <v>28</v>
      </c>
      <c r="D20">
        <v>25</v>
      </c>
      <c r="E20">
        <v>1.1157024793388428</v>
      </c>
      <c r="F20">
        <v>0.11579434923575731</v>
      </c>
      <c r="G20">
        <f t="shared" si="1"/>
        <v>13.768503171425399</v>
      </c>
      <c r="I20" t="s">
        <v>2</v>
      </c>
      <c r="J20">
        <v>5181.5999999999995</v>
      </c>
    </row>
    <row r="21" spans="1:10" x14ac:dyDescent="0.25">
      <c r="A21" t="s">
        <v>74</v>
      </c>
      <c r="C21" t="s">
        <v>28</v>
      </c>
      <c r="D21">
        <v>30</v>
      </c>
      <c r="E21">
        <v>1.1157024793388428</v>
      </c>
      <c r="F21">
        <v>0.11579434923575731</v>
      </c>
      <c r="G21">
        <f t="shared" si="1"/>
        <v>13.768503171425399</v>
      </c>
    </row>
    <row r="22" spans="1:10" x14ac:dyDescent="0.25">
      <c r="A22" t="s">
        <v>75</v>
      </c>
      <c r="B22" t="s">
        <v>49</v>
      </c>
      <c r="C22" t="s">
        <v>26</v>
      </c>
      <c r="D22">
        <v>25</v>
      </c>
      <c r="E22">
        <f>300/J13</f>
        <v>1.9148936170212765</v>
      </c>
      <c r="G22">
        <f t="shared" si="1"/>
        <v>13.085106382978724</v>
      </c>
    </row>
    <row r="23" spans="1:10" x14ac:dyDescent="0.25">
      <c r="A23" t="s">
        <v>76</v>
      </c>
      <c r="C23" t="s">
        <v>26</v>
      </c>
      <c r="D23">
        <v>30</v>
      </c>
      <c r="E23">
        <v>1.9148936170212765</v>
      </c>
      <c r="G23">
        <f t="shared" si="1"/>
        <v>13.085106382978724</v>
      </c>
    </row>
    <row r="24" spans="1:10" x14ac:dyDescent="0.25">
      <c r="A24" t="s">
        <v>77</v>
      </c>
      <c r="C24" t="s">
        <v>28</v>
      </c>
      <c r="D24">
        <v>25</v>
      </c>
      <c r="E24">
        <v>1.9148936170212765</v>
      </c>
      <c r="F24">
        <v>0.11579434923575731</v>
      </c>
      <c r="G24">
        <f t="shared" si="1"/>
        <v>12.969312033742966</v>
      </c>
    </row>
    <row r="25" spans="1:10" x14ac:dyDescent="0.25">
      <c r="A25" t="s">
        <v>78</v>
      </c>
      <c r="C25" t="s">
        <v>28</v>
      </c>
      <c r="D25">
        <v>30</v>
      </c>
      <c r="E25">
        <v>1.9148936170212765</v>
      </c>
      <c r="F25">
        <v>0.11579434923575731</v>
      </c>
      <c r="G25">
        <f t="shared" si="1"/>
        <v>12.969312033742966</v>
      </c>
    </row>
    <row r="26" spans="1:10" x14ac:dyDescent="0.25">
      <c r="A26" t="s">
        <v>79</v>
      </c>
      <c r="B26" t="s">
        <v>37</v>
      </c>
      <c r="C26" t="s">
        <v>26</v>
      </c>
      <c r="D26">
        <v>25</v>
      </c>
      <c r="E26">
        <f>300/J5</f>
        <v>1.129707112970711</v>
      </c>
      <c r="G26">
        <f t="shared" si="1"/>
        <v>13.870292887029288</v>
      </c>
    </row>
    <row r="27" spans="1:10" x14ac:dyDescent="0.25">
      <c r="A27" t="s">
        <v>80</v>
      </c>
      <c r="C27" t="s">
        <v>26</v>
      </c>
      <c r="D27">
        <v>30</v>
      </c>
      <c r="E27">
        <v>1.129707112970711</v>
      </c>
      <c r="G27">
        <f t="shared" si="1"/>
        <v>13.870292887029288</v>
      </c>
    </row>
    <row r="28" spans="1:10" x14ac:dyDescent="0.25">
      <c r="A28" t="s">
        <v>81</v>
      </c>
      <c r="C28" t="s">
        <v>28</v>
      </c>
      <c r="D28">
        <v>25</v>
      </c>
      <c r="E28">
        <v>1.129707112970711</v>
      </c>
      <c r="F28">
        <v>0.11579434923575731</v>
      </c>
      <c r="G28">
        <f t="shared" si="1"/>
        <v>13.754498537793532</v>
      </c>
    </row>
    <row r="29" spans="1:10" x14ac:dyDescent="0.25">
      <c r="A29" t="s">
        <v>82</v>
      </c>
      <c r="C29" t="s">
        <v>28</v>
      </c>
      <c r="D29">
        <v>30</v>
      </c>
      <c r="E29">
        <v>1.129707112970711</v>
      </c>
      <c r="F29">
        <v>0.11579434923575731</v>
      </c>
      <c r="G29">
        <f t="shared" si="1"/>
        <v>13.754498537793532</v>
      </c>
    </row>
    <row r="30" spans="1:10" x14ac:dyDescent="0.25">
      <c r="A30" t="s">
        <v>83</v>
      </c>
      <c r="B30" t="s">
        <v>43</v>
      </c>
      <c r="C30" t="s">
        <v>26</v>
      </c>
      <c r="D30">
        <v>25</v>
      </c>
      <c r="E30">
        <f>300/J14</f>
        <v>2.5471698113207544</v>
      </c>
      <c r="G30">
        <f t="shared" si="1"/>
        <v>12.452830188679245</v>
      </c>
    </row>
    <row r="31" spans="1:10" x14ac:dyDescent="0.25">
      <c r="A31" t="s">
        <v>84</v>
      </c>
      <c r="C31" t="s">
        <v>26</v>
      </c>
      <c r="D31">
        <v>30</v>
      </c>
      <c r="E31">
        <v>2.5471698113207544</v>
      </c>
      <c r="G31">
        <f t="shared" si="1"/>
        <v>12.452830188679245</v>
      </c>
    </row>
    <row r="32" spans="1:10" x14ac:dyDescent="0.25">
      <c r="A32" t="s">
        <v>85</v>
      </c>
      <c r="C32" t="s">
        <v>28</v>
      </c>
      <c r="D32">
        <v>25</v>
      </c>
      <c r="E32">
        <v>2.5471698113207544</v>
      </c>
      <c r="F32">
        <v>0.11579434923575731</v>
      </c>
      <c r="G32">
        <f t="shared" si="1"/>
        <v>12.337035839443487</v>
      </c>
    </row>
    <row r="33" spans="1:7" x14ac:dyDescent="0.25">
      <c r="A33" t="s">
        <v>86</v>
      </c>
      <c r="C33" t="s">
        <v>28</v>
      </c>
      <c r="D33">
        <v>30</v>
      </c>
      <c r="E33">
        <v>2.5471698113207544</v>
      </c>
      <c r="F33">
        <v>0.11579434923575731</v>
      </c>
      <c r="G33">
        <f t="shared" si="1"/>
        <v>12.337035839443487</v>
      </c>
    </row>
    <row r="34" spans="1:7" x14ac:dyDescent="0.25">
      <c r="A34" t="s">
        <v>87</v>
      </c>
      <c r="B34" t="s">
        <v>39</v>
      </c>
      <c r="C34" t="s">
        <v>26</v>
      </c>
      <c r="D34">
        <v>25</v>
      </c>
      <c r="E34">
        <f>300/J7</f>
        <v>1.2857142857142856</v>
      </c>
      <c r="G34">
        <f t="shared" si="1"/>
        <v>13.714285714285715</v>
      </c>
    </row>
    <row r="35" spans="1:7" x14ac:dyDescent="0.25">
      <c r="A35" t="s">
        <v>88</v>
      </c>
      <c r="C35" t="s">
        <v>26</v>
      </c>
      <c r="D35">
        <v>30</v>
      </c>
      <c r="E35">
        <v>1.2857142857142856</v>
      </c>
      <c r="G35">
        <f t="shared" si="1"/>
        <v>13.714285714285715</v>
      </c>
    </row>
    <row r="36" spans="1:7" x14ac:dyDescent="0.25">
      <c r="A36" t="s">
        <v>89</v>
      </c>
      <c r="C36" t="s">
        <v>28</v>
      </c>
      <c r="D36">
        <v>25</v>
      </c>
      <c r="E36">
        <v>1.2857142857142856</v>
      </c>
      <c r="F36">
        <v>0.11579434923575731</v>
      </c>
      <c r="G36">
        <f t="shared" si="1"/>
        <v>13.598491365049957</v>
      </c>
    </row>
    <row r="37" spans="1:7" x14ac:dyDescent="0.25">
      <c r="A37" t="s">
        <v>90</v>
      </c>
      <c r="C37" t="s">
        <v>28</v>
      </c>
      <c r="D37">
        <v>30</v>
      </c>
      <c r="E37">
        <v>1.2857142857142856</v>
      </c>
      <c r="F37">
        <v>0.11579434923575731</v>
      </c>
      <c r="G37">
        <f t="shared" si="1"/>
        <v>13.598491365049957</v>
      </c>
    </row>
    <row r="38" spans="1:7" x14ac:dyDescent="0.25">
      <c r="A38" t="s">
        <v>91</v>
      </c>
      <c r="B38" t="s">
        <v>45</v>
      </c>
      <c r="C38" t="s">
        <v>26</v>
      </c>
      <c r="D38">
        <v>25</v>
      </c>
      <c r="E38">
        <f>300/J16</f>
        <v>1.5517241379310345</v>
      </c>
      <c r="G38">
        <f t="shared" si="1"/>
        <v>13.448275862068966</v>
      </c>
    </row>
    <row r="39" spans="1:7" x14ac:dyDescent="0.25">
      <c r="A39" t="s">
        <v>92</v>
      </c>
      <c r="C39" t="s">
        <v>26</v>
      </c>
      <c r="D39">
        <v>30</v>
      </c>
      <c r="E39">
        <v>1.5517241379310345</v>
      </c>
      <c r="G39">
        <f>15-SUM(E39:F39)</f>
        <v>13.448275862068966</v>
      </c>
    </row>
    <row r="40" spans="1:7" x14ac:dyDescent="0.25">
      <c r="A40" t="s">
        <v>93</v>
      </c>
      <c r="C40" t="s">
        <v>28</v>
      </c>
      <c r="D40">
        <v>25</v>
      </c>
      <c r="E40">
        <v>1.5517241379310345</v>
      </c>
      <c r="F40">
        <v>0.11579434923575731</v>
      </c>
      <c r="G40">
        <f t="shared" si="1"/>
        <v>13.332481512833208</v>
      </c>
    </row>
    <row r="41" spans="1:7" x14ac:dyDescent="0.25">
      <c r="A41" t="s">
        <v>94</v>
      </c>
      <c r="C41" t="s">
        <v>28</v>
      </c>
      <c r="D41">
        <v>30</v>
      </c>
      <c r="E41">
        <v>1.5517241379310345</v>
      </c>
      <c r="F41">
        <v>0.11579434923575731</v>
      </c>
      <c r="G41">
        <f t="shared" si="1"/>
        <v>13.332481512833208</v>
      </c>
    </row>
    <row r="42" spans="1:7" x14ac:dyDescent="0.25">
      <c r="A42" t="s">
        <v>95</v>
      </c>
      <c r="B42" t="s">
        <v>40</v>
      </c>
      <c r="C42" t="s">
        <v>26</v>
      </c>
      <c r="D42">
        <v>25</v>
      </c>
      <c r="E42">
        <f>300/J8</f>
        <v>1.1392405063291138</v>
      </c>
      <c r="G42">
        <f t="shared" si="1"/>
        <v>13.860759493670887</v>
      </c>
    </row>
    <row r="43" spans="1:7" x14ac:dyDescent="0.25">
      <c r="A43" t="s">
        <v>96</v>
      </c>
      <c r="C43" t="s">
        <v>26</v>
      </c>
      <c r="D43">
        <v>30</v>
      </c>
      <c r="E43">
        <v>1.1392405063291138</v>
      </c>
      <c r="G43">
        <f t="shared" si="1"/>
        <v>13.860759493670887</v>
      </c>
    </row>
    <row r="44" spans="1:7" x14ac:dyDescent="0.25">
      <c r="A44" t="s">
        <v>97</v>
      </c>
      <c r="C44" t="s">
        <v>28</v>
      </c>
      <c r="D44">
        <v>25</v>
      </c>
      <c r="E44">
        <v>1.1392405063291138</v>
      </c>
      <c r="F44">
        <v>0.11579434923575731</v>
      </c>
      <c r="G44">
        <f t="shared" si="1"/>
        <v>13.744965144435129</v>
      </c>
    </row>
    <row r="45" spans="1:7" x14ac:dyDescent="0.25">
      <c r="A45" t="s">
        <v>98</v>
      </c>
      <c r="C45" t="s">
        <v>28</v>
      </c>
      <c r="D45">
        <v>30</v>
      </c>
      <c r="E45">
        <v>1.1392405063291138</v>
      </c>
      <c r="F45">
        <v>0.11579434923575731</v>
      </c>
      <c r="G45">
        <f t="shared" si="1"/>
        <v>13.744965144435129</v>
      </c>
    </row>
    <row r="46" spans="1:7" x14ac:dyDescent="0.25">
      <c r="A46" t="s">
        <v>99</v>
      </c>
      <c r="B46" t="s">
        <v>46</v>
      </c>
      <c r="C46" t="s">
        <v>26</v>
      </c>
      <c r="D46">
        <v>25</v>
      </c>
      <c r="E46">
        <f>300/J17</f>
        <v>1.8881118881118881</v>
      </c>
      <c r="G46">
        <f t="shared" si="1"/>
        <v>13.111888111888112</v>
      </c>
    </row>
    <row r="47" spans="1:7" x14ac:dyDescent="0.25">
      <c r="A47" t="s">
        <v>100</v>
      </c>
      <c r="C47" t="s">
        <v>26</v>
      </c>
      <c r="D47">
        <v>30</v>
      </c>
      <c r="E47">
        <v>1.8881118881118881</v>
      </c>
      <c r="G47">
        <f t="shared" si="1"/>
        <v>13.111888111888112</v>
      </c>
    </row>
    <row r="48" spans="1:7" x14ac:dyDescent="0.25">
      <c r="A48" t="s">
        <v>101</v>
      </c>
      <c r="C48" t="s">
        <v>28</v>
      </c>
      <c r="D48">
        <v>25</v>
      </c>
      <c r="E48">
        <v>1.8881118881118881</v>
      </c>
      <c r="F48">
        <v>0.11579434923575731</v>
      </c>
      <c r="G48">
        <f t="shared" si="1"/>
        <v>12.996093762652354</v>
      </c>
    </row>
    <row r="49" spans="1:7" x14ac:dyDescent="0.25">
      <c r="A49" t="s">
        <v>102</v>
      </c>
      <c r="C49" t="s">
        <v>28</v>
      </c>
      <c r="D49">
        <v>30</v>
      </c>
      <c r="E49">
        <v>1.8881118881118881</v>
      </c>
      <c r="F49">
        <v>0.11579434923575731</v>
      </c>
      <c r="G49">
        <f t="shared" si="1"/>
        <v>12.996093762652354</v>
      </c>
    </row>
    <row r="50" spans="1:7" x14ac:dyDescent="0.25">
      <c r="A50" t="s">
        <v>103</v>
      </c>
      <c r="B50" t="s">
        <v>48</v>
      </c>
      <c r="C50" t="s">
        <v>26</v>
      </c>
      <c r="D50">
        <v>25</v>
      </c>
      <c r="E50">
        <f>300/J9</f>
        <v>1.0546875</v>
      </c>
      <c r="G50">
        <f t="shared" si="1"/>
        <v>13.9453125</v>
      </c>
    </row>
    <row r="51" spans="1:7" x14ac:dyDescent="0.25">
      <c r="A51" t="s">
        <v>104</v>
      </c>
      <c r="C51" t="s">
        <v>26</v>
      </c>
      <c r="D51">
        <v>30</v>
      </c>
      <c r="E51">
        <v>1.0546875</v>
      </c>
      <c r="G51">
        <f t="shared" si="1"/>
        <v>13.9453125</v>
      </c>
    </row>
    <row r="52" spans="1:7" x14ac:dyDescent="0.25">
      <c r="A52" t="s">
        <v>105</v>
      </c>
      <c r="C52" t="s">
        <v>28</v>
      </c>
      <c r="D52">
        <v>25</v>
      </c>
      <c r="E52">
        <v>1.0546875</v>
      </c>
      <c r="F52">
        <v>0.11579434923575731</v>
      </c>
      <c r="G52">
        <f t="shared" si="1"/>
        <v>13.829518150764242</v>
      </c>
    </row>
    <row r="53" spans="1:7" x14ac:dyDescent="0.25">
      <c r="A53" t="s">
        <v>106</v>
      </c>
      <c r="C53" t="s">
        <v>28</v>
      </c>
      <c r="D53">
        <v>30</v>
      </c>
      <c r="E53">
        <v>1.0546875</v>
      </c>
      <c r="F53">
        <v>0.11579434923575731</v>
      </c>
      <c r="G53">
        <f t="shared" si="1"/>
        <v>13.829518150764242</v>
      </c>
    </row>
    <row r="54" spans="1:7" x14ac:dyDescent="0.25">
      <c r="A54" t="s">
        <v>107</v>
      </c>
      <c r="B54" t="s">
        <v>47</v>
      </c>
      <c r="C54" t="s">
        <v>26</v>
      </c>
      <c r="D54">
        <v>25</v>
      </c>
      <c r="E54">
        <f>300/J18</f>
        <v>1.7647058823529411</v>
      </c>
      <c r="G54">
        <f t="shared" si="1"/>
        <v>13.235294117647058</v>
      </c>
    </row>
    <row r="55" spans="1:7" x14ac:dyDescent="0.25">
      <c r="A55" t="s">
        <v>108</v>
      </c>
      <c r="C55" t="s">
        <v>26</v>
      </c>
      <c r="D55">
        <v>30</v>
      </c>
      <c r="E55">
        <v>1.7647058823529411</v>
      </c>
      <c r="G55">
        <f t="shared" si="1"/>
        <v>13.235294117647058</v>
      </c>
    </row>
    <row r="56" spans="1:7" x14ac:dyDescent="0.25">
      <c r="A56" t="s">
        <v>109</v>
      </c>
      <c r="C56" t="s">
        <v>28</v>
      </c>
      <c r="D56">
        <v>25</v>
      </c>
      <c r="E56">
        <v>1.7647058823529411</v>
      </c>
      <c r="F56">
        <v>0.11579434923575731</v>
      </c>
      <c r="G56">
        <f t="shared" si="1"/>
        <v>13.119499768411302</v>
      </c>
    </row>
    <row r="57" spans="1:7" x14ac:dyDescent="0.25">
      <c r="A57" t="s">
        <v>110</v>
      </c>
      <c r="C57" t="s">
        <v>28</v>
      </c>
      <c r="D57">
        <v>30</v>
      </c>
      <c r="E57">
        <v>1.7647058823529411</v>
      </c>
      <c r="F57">
        <v>0.11579434923575731</v>
      </c>
      <c r="G57">
        <f t="shared" si="1"/>
        <v>13.119499768411302</v>
      </c>
    </row>
    <row r="58" spans="1:7" x14ac:dyDescent="0.25">
      <c r="A58" t="s">
        <v>111</v>
      </c>
      <c r="B58" t="s">
        <v>38</v>
      </c>
      <c r="C58" t="s">
        <v>26</v>
      </c>
      <c r="D58">
        <v>25</v>
      </c>
      <c r="E58">
        <f>300/J6</f>
        <v>5.1923076923076925</v>
      </c>
      <c r="G58">
        <f t="shared" si="1"/>
        <v>9.8076923076923066</v>
      </c>
    </row>
    <row r="59" spans="1:7" x14ac:dyDescent="0.25">
      <c r="A59" t="s">
        <v>112</v>
      </c>
      <c r="C59" t="s">
        <v>26</v>
      </c>
      <c r="D59">
        <v>30</v>
      </c>
      <c r="E59">
        <v>5.1923076923076925</v>
      </c>
      <c r="G59">
        <f t="shared" si="1"/>
        <v>9.8076923076923066</v>
      </c>
    </row>
    <row r="60" spans="1:7" x14ac:dyDescent="0.25">
      <c r="A60" t="s">
        <v>113</v>
      </c>
      <c r="C60" t="s">
        <v>28</v>
      </c>
      <c r="D60">
        <v>25</v>
      </c>
      <c r="E60">
        <v>5.1923076923076925</v>
      </c>
      <c r="F60">
        <v>0.11579434923575731</v>
      </c>
      <c r="G60">
        <f t="shared" si="1"/>
        <v>9.6918979584565506</v>
      </c>
    </row>
    <row r="61" spans="1:7" x14ac:dyDescent="0.25">
      <c r="A61" t="s">
        <v>114</v>
      </c>
      <c r="C61" t="s">
        <v>28</v>
      </c>
      <c r="D61">
        <v>30</v>
      </c>
      <c r="E61">
        <v>5.1923076923076925</v>
      </c>
      <c r="F61">
        <v>0.11579434923575731</v>
      </c>
      <c r="G61">
        <f t="shared" si="1"/>
        <v>9.6918979584565506</v>
      </c>
    </row>
    <row r="62" spans="1:7" x14ac:dyDescent="0.25">
      <c r="A62" t="s">
        <v>115</v>
      </c>
      <c r="B62" t="s">
        <v>44</v>
      </c>
      <c r="C62" t="s">
        <v>26</v>
      </c>
      <c r="D62">
        <v>25</v>
      </c>
      <c r="E62">
        <f>300/J15</f>
        <v>1.5882352941176472</v>
      </c>
      <c r="G62">
        <f t="shared" si="1"/>
        <v>13.411764705882353</v>
      </c>
    </row>
    <row r="63" spans="1:7" x14ac:dyDescent="0.25">
      <c r="A63" t="s">
        <v>116</v>
      </c>
      <c r="C63" t="s">
        <v>26</v>
      </c>
      <c r="D63">
        <v>30</v>
      </c>
      <c r="E63">
        <v>1.5882352941176472</v>
      </c>
      <c r="G63">
        <f t="shared" si="1"/>
        <v>13.411764705882353</v>
      </c>
    </row>
    <row r="64" spans="1:7" x14ac:dyDescent="0.25">
      <c r="A64" t="s">
        <v>117</v>
      </c>
      <c r="C64" t="s">
        <v>28</v>
      </c>
      <c r="D64">
        <v>25</v>
      </c>
      <c r="E64">
        <v>1.5882352941176472</v>
      </c>
      <c r="F64">
        <v>0.11579434923575731</v>
      </c>
      <c r="G64">
        <f t="shared" si="1"/>
        <v>13.295970356646595</v>
      </c>
    </row>
    <row r="65" spans="1:7" x14ac:dyDescent="0.25">
      <c r="A65" t="s">
        <v>118</v>
      </c>
      <c r="C65" t="s">
        <v>28</v>
      </c>
      <c r="D65">
        <v>30</v>
      </c>
      <c r="E65">
        <v>1.5882352941176472</v>
      </c>
      <c r="F65">
        <v>0.11579434923575731</v>
      </c>
      <c r="G65">
        <f>15-SUM(E65:F65)</f>
        <v>13.295970356646595</v>
      </c>
    </row>
    <row r="66" spans="1:7" x14ac:dyDescent="0.25">
      <c r="A66" t="s">
        <v>119</v>
      </c>
      <c r="B66" t="s">
        <v>2</v>
      </c>
      <c r="C66" t="s">
        <v>50</v>
      </c>
      <c r="D66">
        <v>25</v>
      </c>
      <c r="F66">
        <v>0.11579434923575731</v>
      </c>
      <c r="G66">
        <f t="shared" si="1"/>
        <v>14.884205650764242</v>
      </c>
    </row>
    <row r="67" spans="1:7" x14ac:dyDescent="0.25">
      <c r="A67" t="s">
        <v>120</v>
      </c>
      <c r="C67" t="s">
        <v>50</v>
      </c>
      <c r="D67">
        <v>25</v>
      </c>
      <c r="F67">
        <v>0.11579434923575731</v>
      </c>
      <c r="G67">
        <f t="shared" si="1"/>
        <v>14.884205650764242</v>
      </c>
    </row>
    <row r="68" spans="1:7" x14ac:dyDescent="0.25">
      <c r="A68" t="s">
        <v>121</v>
      </c>
      <c r="C68" t="s">
        <v>50</v>
      </c>
      <c r="D68">
        <v>25</v>
      </c>
      <c r="F68">
        <v>0.11579434923575731</v>
      </c>
      <c r="G68">
        <f t="shared" si="1"/>
        <v>14.884205650764242</v>
      </c>
    </row>
    <row r="69" spans="1:7" x14ac:dyDescent="0.25">
      <c r="A69" t="s">
        <v>122</v>
      </c>
      <c r="C69" t="s">
        <v>50</v>
      </c>
      <c r="D69">
        <v>25</v>
      </c>
      <c r="F69">
        <v>0.11579434923575731</v>
      </c>
      <c r="G69">
        <f t="shared" si="1"/>
        <v>14.884205650764242</v>
      </c>
    </row>
    <row r="70" spans="1:7" x14ac:dyDescent="0.25">
      <c r="A70" t="s">
        <v>123</v>
      </c>
      <c r="C70" t="s">
        <v>50</v>
      </c>
      <c r="D70">
        <v>25</v>
      </c>
      <c r="F70">
        <v>0.11579434923575731</v>
      </c>
      <c r="G70">
        <f t="shared" si="1"/>
        <v>14.884205650764242</v>
      </c>
    </row>
    <row r="71" spans="1:7" x14ac:dyDescent="0.25">
      <c r="A71" t="s">
        <v>124</v>
      </c>
      <c r="C71" t="s">
        <v>50</v>
      </c>
      <c r="D71">
        <v>25</v>
      </c>
      <c r="F71">
        <v>0.11579434923575731</v>
      </c>
      <c r="G71">
        <f t="shared" si="1"/>
        <v>14.884205650764242</v>
      </c>
    </row>
    <row r="72" spans="1:7" x14ac:dyDescent="0.25">
      <c r="A72" t="s">
        <v>125</v>
      </c>
      <c r="C72" t="s">
        <v>50</v>
      </c>
      <c r="D72">
        <v>25</v>
      </c>
      <c r="F72">
        <v>0.11579434923575731</v>
      </c>
      <c r="G72">
        <f t="shared" si="1"/>
        <v>14.884205650764242</v>
      </c>
    </row>
    <row r="73" spans="1:7" x14ac:dyDescent="0.25">
      <c r="A73" t="s">
        <v>126</v>
      </c>
      <c r="C73" t="s">
        <v>50</v>
      </c>
      <c r="D73">
        <v>25</v>
      </c>
      <c r="F73">
        <v>0.11579434923575731</v>
      </c>
      <c r="G73">
        <f t="shared" si="1"/>
        <v>14.884205650764242</v>
      </c>
    </row>
    <row r="74" spans="1:7" x14ac:dyDescent="0.25">
      <c r="A74" t="s">
        <v>127</v>
      </c>
      <c r="B74" t="s">
        <v>2</v>
      </c>
      <c r="C74" t="s">
        <v>50</v>
      </c>
      <c r="D74">
        <v>30</v>
      </c>
      <c r="F74">
        <v>0.11579434923575731</v>
      </c>
      <c r="G74">
        <f t="shared" ref="G74:G81" si="2">15-SUM(E74:F74)</f>
        <v>14.884205650764242</v>
      </c>
    </row>
    <row r="75" spans="1:7" x14ac:dyDescent="0.25">
      <c r="A75" t="s">
        <v>128</v>
      </c>
      <c r="C75" t="s">
        <v>50</v>
      </c>
      <c r="D75">
        <v>30</v>
      </c>
      <c r="F75">
        <v>0.11579434923575731</v>
      </c>
      <c r="G75">
        <f t="shared" si="2"/>
        <v>14.884205650764242</v>
      </c>
    </row>
    <row r="76" spans="1:7" x14ac:dyDescent="0.25">
      <c r="A76" t="s">
        <v>129</v>
      </c>
      <c r="C76" t="s">
        <v>50</v>
      </c>
      <c r="D76">
        <v>30</v>
      </c>
      <c r="F76">
        <v>0.11579434923575731</v>
      </c>
      <c r="G76">
        <f t="shared" si="2"/>
        <v>14.884205650764242</v>
      </c>
    </row>
    <row r="77" spans="1:7" x14ac:dyDescent="0.25">
      <c r="A77" t="s">
        <v>130</v>
      </c>
      <c r="C77" t="s">
        <v>50</v>
      </c>
      <c r="D77">
        <v>30</v>
      </c>
      <c r="F77">
        <v>0.11579434923575731</v>
      </c>
      <c r="G77">
        <f t="shared" si="2"/>
        <v>14.884205650764242</v>
      </c>
    </row>
    <row r="78" spans="1:7" x14ac:dyDescent="0.25">
      <c r="A78" t="s">
        <v>131</v>
      </c>
      <c r="C78" t="s">
        <v>50</v>
      </c>
      <c r="D78">
        <v>30</v>
      </c>
      <c r="F78">
        <v>0.11579434923575731</v>
      </c>
      <c r="G78">
        <f t="shared" si="2"/>
        <v>14.884205650764242</v>
      </c>
    </row>
    <row r="79" spans="1:7" x14ac:dyDescent="0.25">
      <c r="A79" t="s">
        <v>132</v>
      </c>
      <c r="C79" t="s">
        <v>50</v>
      </c>
      <c r="D79">
        <v>30</v>
      </c>
      <c r="F79">
        <v>0.11579434923575731</v>
      </c>
      <c r="G79">
        <f t="shared" si="2"/>
        <v>14.884205650764242</v>
      </c>
    </row>
    <row r="80" spans="1:7" x14ac:dyDescent="0.25">
      <c r="A80" t="s">
        <v>134</v>
      </c>
      <c r="C80" t="s">
        <v>50</v>
      </c>
      <c r="D80">
        <v>30</v>
      </c>
      <c r="F80">
        <v>0.11579434923575731</v>
      </c>
      <c r="G80">
        <f t="shared" si="2"/>
        <v>14.884205650764242</v>
      </c>
    </row>
    <row r="81" spans="1:7" x14ac:dyDescent="0.25">
      <c r="A81" t="s">
        <v>133</v>
      </c>
      <c r="C81" t="s">
        <v>50</v>
      </c>
      <c r="D81">
        <v>30</v>
      </c>
      <c r="F81">
        <v>0.11579434923575731</v>
      </c>
      <c r="G81">
        <f t="shared" si="2"/>
        <v>14.884205650764242</v>
      </c>
    </row>
    <row r="83" spans="1:7" x14ac:dyDescent="0.25">
      <c r="F83" t="s">
        <v>136</v>
      </c>
      <c r="G83" t="s">
        <v>135</v>
      </c>
    </row>
    <row r="84" spans="1:7" x14ac:dyDescent="0.25">
      <c r="F84">
        <f>SUM(F2:F81)</f>
        <v>5.558128763316347</v>
      </c>
      <c r="G84">
        <f>SUM(G2:G81)</f>
        <v>1074.5821159328884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Mendelson</dc:creator>
  <cp:lastModifiedBy>Mendelson, Alex</cp:lastModifiedBy>
  <dcterms:created xsi:type="dcterms:W3CDTF">2015-06-05T18:17:20Z</dcterms:created>
  <dcterms:modified xsi:type="dcterms:W3CDTF">2026-02-05T21:31:40Z</dcterms:modified>
</cp:coreProperties>
</file>