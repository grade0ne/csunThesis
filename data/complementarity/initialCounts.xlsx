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et\Documents\projectCSUN\csunThesisRepo\data\complementarity\"/>
    </mc:Choice>
  </mc:AlternateContent>
  <xr:revisionPtr revIDLastSave="0" documentId="13_ncr:1_{FC5B9DC8-DB7E-4FFB-B109-2BB3689D8137}" xr6:coauthVersionLast="47" xr6:coauthVersionMax="47" xr10:uidLastSave="{00000000-0000-0000-0000-000000000000}"/>
  <bookViews>
    <workbookView xWindow="-120" yWindow="-120" windowWidth="29040" windowHeight="15720" xr2:uid="{55E80E2A-D0E6-46F0-8B77-35CBC39769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2" i="1"/>
  <c r="I5" i="1"/>
  <c r="J5" i="1" s="1"/>
  <c r="F10" i="1"/>
  <c r="I10" i="1" s="1"/>
  <c r="F9" i="1"/>
  <c r="I9" i="1" s="1"/>
  <c r="F20" i="1"/>
  <c r="I20" i="1" s="1"/>
  <c r="F12" i="1"/>
  <c r="I12" i="1" s="1"/>
  <c r="E4" i="1"/>
  <c r="F4" i="1" s="1"/>
  <c r="I4" i="1" s="1"/>
  <c r="J4" i="1" s="1"/>
  <c r="F18" i="1"/>
  <c r="I18" i="1" s="1"/>
  <c r="F15" i="1"/>
  <c r="I15" i="1" s="1"/>
  <c r="F16" i="1"/>
  <c r="I16" i="1" s="1"/>
  <c r="F17" i="1"/>
  <c r="I17" i="1" s="1"/>
  <c r="E2" i="1"/>
  <c r="F2" i="1" s="1"/>
  <c r="I2" i="1" s="1"/>
  <c r="J2" i="1" s="1"/>
  <c r="E3" i="1"/>
  <c r="F3" i="1" s="1"/>
  <c r="I3" i="1" s="1"/>
  <c r="J3" i="1" s="1"/>
  <c r="F11" i="1"/>
  <c r="I11" i="1" s="1"/>
  <c r="F14" i="1"/>
  <c r="I14" i="1" s="1"/>
  <c r="F8" i="1"/>
  <c r="I8" i="1" s="1"/>
  <c r="E5" i="1"/>
  <c r="F5" i="1" s="1"/>
  <c r="E6" i="1"/>
  <c r="F6" i="1" s="1"/>
  <c r="I6" i="1" s="1"/>
  <c r="J6" i="1" s="1"/>
  <c r="M2" i="1" l="1"/>
  <c r="N2" i="1" s="1"/>
  <c r="K2" i="1"/>
  <c r="L2" i="1" s="1"/>
  <c r="K4" i="1"/>
  <c r="L4" i="1" s="1"/>
  <c r="K3" i="1"/>
  <c r="L3" i="1" s="1"/>
  <c r="K6" i="1"/>
  <c r="L6" i="1" s="1"/>
  <c r="K5" i="1"/>
  <c r="L5" i="1" s="1"/>
</calcChain>
</file>

<file path=xl/sharedStrings.xml><?xml version="1.0" encoding="utf-8"?>
<sst xmlns="http://schemas.openxmlformats.org/spreadsheetml/2006/main" count="14" uniqueCount="14">
  <si>
    <t>clone</t>
  </si>
  <si>
    <t>count1</t>
  </si>
  <si>
    <t>count2</t>
  </si>
  <si>
    <t>count3</t>
  </si>
  <si>
    <t>average</t>
  </si>
  <si>
    <t>per_ml</t>
  </si>
  <si>
    <t>bact</t>
  </si>
  <si>
    <t>protist</t>
  </si>
  <si>
    <t>rotifers</t>
  </si>
  <si>
    <t>topoff_comp</t>
  </si>
  <si>
    <t>topoff_nocomp</t>
  </si>
  <si>
    <t>mix</t>
  </si>
  <si>
    <t>topoff_mix_c</t>
  </si>
  <si>
    <t>topoff_mix_nc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</si>
</sst>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2" tint="-0.499984740745262"/>
      <name val="Aptos Narrow"/>
      <family val="2"/>
      <scheme val="minor"/>
    </font>
    <font>
      <b/>
      <sz val="12"/>
      <color theme="2" tint="-0.49998474074526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65" fontId="0" fillId="0" borderId="0" xfId="0" applyNumberFormat="1"/>
    <xf numFmtId="0" fontId="0" fillId="2" borderId="1" xfId="0" applyFill="1" applyBorder="1"/>
    <xf numFmtId="2" fontId="0" fillId="2" borderId="1" xfId="0" applyNumberFormat="1" applyFill="1" applyBorder="1"/>
    <xf numFmtId="165" fontId="1" fillId="2" borderId="1" xfId="0" applyNumberFormat="1" applyFont="1" applyFill="1" applyBorder="1"/>
    <xf numFmtId="165" fontId="1" fillId="0" borderId="0" xfId="0" applyNumberFormat="1" applyFont="1" applyFill="1" applyBorder="1"/>
    <xf numFmtId="0" fontId="2" fillId="0" borderId="0" xfId="0" applyFont="1"/>
    <xf numFmtId="2" fontId="2" fillId="0" borderId="0" xfId="0" applyNumberFormat="1" applyFont="1"/>
    <xf numFmtId="165" fontId="3" fillId="0" borderId="0" xfId="0" applyNumberFormat="1" applyFont="1"/>
    <xf numFmtId="165" fontId="0" fillId="0" borderId="1" xfId="0" applyNumberFormat="1" applyBorder="1"/>
    <xf numFmtId="165" fontId="0" fillId="0" borderId="3" xfId="0" applyNumberFormat="1" applyBorder="1"/>
    <xf numFmtId="165" fontId="0" fillId="2" borderId="1" xfId="0" applyNumberFormat="1" applyFill="1" applyBorder="1"/>
    <xf numFmtId="165" fontId="0" fillId="2" borderId="1" xfId="0" applyNumberFormat="1" applyFont="1" applyFill="1" applyBorder="1"/>
    <xf numFmtId="165" fontId="0" fillId="2" borderId="2" xfId="0" applyNumberFormat="1" applyFont="1" applyFill="1" applyBorder="1"/>
    <xf numFmtId="0" fontId="0" fillId="3" borderId="1" xfId="0" applyFill="1" applyBorder="1"/>
    <xf numFmtId="2" fontId="0" fillId="3" borderId="1" xfId="0" applyNumberFormat="1" applyFill="1" applyBorder="1"/>
    <xf numFmtId="165" fontId="1" fillId="3" borderId="1" xfId="0" applyNumberFormat="1" applyFont="1" applyFill="1" applyBorder="1"/>
    <xf numFmtId="0" fontId="0" fillId="4" borderId="1" xfId="0" applyFill="1" applyBorder="1"/>
    <xf numFmtId="2" fontId="0" fillId="4" borderId="1" xfId="0" applyNumberFormat="1" applyFill="1" applyBorder="1"/>
    <xf numFmtId="165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89CF7-398C-4C16-BC5E-A2E563F1A358}">
  <dimension ref="A1:N20"/>
  <sheetViews>
    <sheetView tabSelected="1" zoomScale="145" zoomScaleNormal="145" workbookViewId="0">
      <pane xSplit="1" topLeftCell="B1" activePane="topRight" state="frozen"/>
      <selection pane="topRight" activeCell="K23" sqref="K23"/>
    </sheetView>
  </sheetViews>
  <sheetFormatPr defaultRowHeight="15.75" x14ac:dyDescent="0.25"/>
  <cols>
    <col min="1" max="1" width="5.375" bestFit="1" customWidth="1"/>
    <col min="4" max="4" width="9" customWidth="1"/>
    <col min="5" max="5" width="10" customWidth="1"/>
    <col min="6" max="6" width="6.5" bestFit="1" customWidth="1"/>
    <col min="10" max="10" width="5.5" bestFit="1" customWidth="1"/>
    <col min="11" max="12" width="13.125" bestFit="1" customWidth="1"/>
    <col min="13" max="13" width="11.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11</v>
      </c>
      <c r="K1" t="s">
        <v>9</v>
      </c>
      <c r="L1" t="s">
        <v>10</v>
      </c>
      <c r="M1" t="s">
        <v>12</v>
      </c>
      <c r="N1" t="s">
        <v>13</v>
      </c>
    </row>
    <row r="2" spans="1:14" x14ac:dyDescent="0.25">
      <c r="A2" s="2">
        <v>11</v>
      </c>
      <c r="B2" s="2">
        <v>55</v>
      </c>
      <c r="C2" s="2">
        <v>64</v>
      </c>
      <c r="D2" s="2">
        <v>51</v>
      </c>
      <c r="E2" s="3">
        <f>AVERAGE(B2:D2)</f>
        <v>56.666666666666664</v>
      </c>
      <c r="F2" s="3">
        <f>E2/0.3</f>
        <v>188.88888888888889</v>
      </c>
      <c r="G2" s="2">
        <v>0.05</v>
      </c>
      <c r="H2" s="2">
        <f>800/448</f>
        <v>1.7857142857142858</v>
      </c>
      <c r="I2" s="4">
        <f>400/F2</f>
        <v>2.1176470588235294</v>
      </c>
      <c r="J2" s="11">
        <f>I2/5</f>
        <v>0.42352941176470588</v>
      </c>
      <c r="K2" s="12">
        <f>20-(I2+G2+H2)</f>
        <v>16.046638655462186</v>
      </c>
      <c r="L2" s="11">
        <f>K2+H2</f>
        <v>17.83235294117647</v>
      </c>
      <c r="M2" s="10">
        <f>20-(H2+(SUM(J2:J6))+G2)</f>
        <v>15.776388664990193</v>
      </c>
      <c r="N2" s="9">
        <f>M2-H2</f>
        <v>13.990674379275907</v>
      </c>
    </row>
    <row r="3" spans="1:14" x14ac:dyDescent="0.25">
      <c r="A3" s="2">
        <v>12</v>
      </c>
      <c r="B3" s="2">
        <v>30</v>
      </c>
      <c r="C3" s="2">
        <v>38</v>
      </c>
      <c r="D3" s="2">
        <v>38</v>
      </c>
      <c r="E3" s="3">
        <f>AVERAGE(B3:D3)</f>
        <v>35.333333333333336</v>
      </c>
      <c r="F3" s="3">
        <f>E3/0.3</f>
        <v>117.77777777777779</v>
      </c>
      <c r="G3" s="2">
        <v>0.05</v>
      </c>
      <c r="H3" s="2">
        <f t="shared" ref="H3:H6" si="0">800/448</f>
        <v>1.7857142857142858</v>
      </c>
      <c r="I3" s="4">
        <f t="shared" ref="I3:I6" si="1">400/F3</f>
        <v>3.3962264150943393</v>
      </c>
      <c r="J3" s="11">
        <f t="shared" ref="J3:J6" si="2">I3/5</f>
        <v>0.67924528301886788</v>
      </c>
      <c r="K3" s="12">
        <f>20-(I3+G3+H3)</f>
        <v>14.768059299191375</v>
      </c>
      <c r="L3" s="11">
        <f t="shared" ref="L3:L6" si="3">K3+H3</f>
        <v>16.55377358490566</v>
      </c>
      <c r="M3" s="1"/>
      <c r="N3" s="1"/>
    </row>
    <row r="4" spans="1:14" x14ac:dyDescent="0.25">
      <c r="A4" s="2">
        <v>6</v>
      </c>
      <c r="B4" s="2">
        <v>56</v>
      </c>
      <c r="C4" s="2">
        <v>47</v>
      </c>
      <c r="D4" s="2">
        <v>58</v>
      </c>
      <c r="E4" s="3">
        <f>AVERAGE(B4:D4)</f>
        <v>53.666666666666664</v>
      </c>
      <c r="F4" s="3">
        <f>E4/0.3</f>
        <v>178.88888888888889</v>
      </c>
      <c r="G4" s="2">
        <v>0.05</v>
      </c>
      <c r="H4" s="2">
        <f t="shared" si="0"/>
        <v>1.7857142857142858</v>
      </c>
      <c r="I4" s="4">
        <f t="shared" si="1"/>
        <v>2.2360248447204971</v>
      </c>
      <c r="J4" s="11">
        <f t="shared" si="2"/>
        <v>0.44720496894409945</v>
      </c>
      <c r="K4" s="12">
        <f>20-(I4+G4+H4)</f>
        <v>15.928260869565218</v>
      </c>
      <c r="L4" s="11">
        <f t="shared" si="3"/>
        <v>17.713975155279503</v>
      </c>
      <c r="M4" s="1"/>
      <c r="N4" s="1"/>
    </row>
    <row r="5" spans="1:14" x14ac:dyDescent="0.25">
      <c r="A5" s="2">
        <v>17</v>
      </c>
      <c r="B5" s="2">
        <v>56</v>
      </c>
      <c r="C5" s="2">
        <v>58</v>
      </c>
      <c r="D5" s="2">
        <v>53</v>
      </c>
      <c r="E5" s="3">
        <f>AVERAGE(B5:D5)</f>
        <v>55.666666666666664</v>
      </c>
      <c r="F5" s="3">
        <f>E5/0.3</f>
        <v>185.55555555555554</v>
      </c>
      <c r="G5" s="2">
        <v>0.05</v>
      </c>
      <c r="H5" s="2">
        <f t="shared" si="0"/>
        <v>1.7857142857142858</v>
      </c>
      <c r="I5" s="4">
        <f t="shared" si="1"/>
        <v>2.1556886227544911</v>
      </c>
      <c r="J5" s="11">
        <f t="shared" si="2"/>
        <v>0.43113772455089822</v>
      </c>
      <c r="K5" s="12">
        <f>20-(I5+G5+H5)</f>
        <v>16.008597091531222</v>
      </c>
      <c r="L5" s="11">
        <f t="shared" si="3"/>
        <v>17.794311377245506</v>
      </c>
      <c r="M5" s="1"/>
      <c r="N5" s="1"/>
    </row>
    <row r="6" spans="1:14" x14ac:dyDescent="0.25">
      <c r="A6" s="2">
        <v>1</v>
      </c>
      <c r="B6" s="2">
        <v>52</v>
      </c>
      <c r="C6" s="2">
        <v>67</v>
      </c>
      <c r="D6" s="2">
        <v>58</v>
      </c>
      <c r="E6" s="3">
        <f>AVERAGE(B6:D6)</f>
        <v>59</v>
      </c>
      <c r="F6" s="3">
        <f>E6/0.3</f>
        <v>196.66666666666669</v>
      </c>
      <c r="G6" s="2">
        <v>0.05</v>
      </c>
      <c r="H6" s="2">
        <f t="shared" si="0"/>
        <v>1.7857142857142858</v>
      </c>
      <c r="I6" s="4">
        <f t="shared" si="1"/>
        <v>2.0338983050847457</v>
      </c>
      <c r="J6" s="11">
        <f t="shared" si="2"/>
        <v>0.40677966101694912</v>
      </c>
      <c r="K6" s="13">
        <f>20-(I6+G6+H6)</f>
        <v>16.130387409200971</v>
      </c>
      <c r="L6" s="11">
        <f t="shared" si="3"/>
        <v>17.916101694915255</v>
      </c>
      <c r="M6" s="1"/>
      <c r="N6" s="1"/>
    </row>
    <row r="7" spans="1:14" x14ac:dyDescent="0.25">
      <c r="J7" s="5"/>
    </row>
    <row r="8" spans="1:14" x14ac:dyDescent="0.25">
      <c r="A8" s="14">
        <v>16</v>
      </c>
      <c r="B8" s="14">
        <v>62</v>
      </c>
      <c r="C8" s="14">
        <v>47</v>
      </c>
      <c r="D8" s="14">
        <v>67</v>
      </c>
      <c r="E8" s="15"/>
      <c r="F8" s="15">
        <f>E8/0.3</f>
        <v>0</v>
      </c>
      <c r="G8" s="14">
        <v>0.05</v>
      </c>
      <c r="H8" s="14"/>
      <c r="I8" s="16" t="e">
        <f>800/F8</f>
        <v>#DIV/0!</v>
      </c>
      <c r="J8" s="16"/>
      <c r="K8" s="14"/>
      <c r="L8" s="14"/>
    </row>
    <row r="9" spans="1:14" x14ac:dyDescent="0.25">
      <c r="A9" s="14">
        <v>3</v>
      </c>
      <c r="B9" s="14">
        <v>57</v>
      </c>
      <c r="C9" s="14">
        <v>67</v>
      </c>
      <c r="D9" s="14">
        <v>58</v>
      </c>
      <c r="E9" s="15"/>
      <c r="F9" s="15">
        <f>E9/0.3</f>
        <v>0</v>
      </c>
      <c r="G9" s="14">
        <v>0.05</v>
      </c>
      <c r="H9" s="14"/>
      <c r="I9" s="16" t="e">
        <f>800/F9</f>
        <v>#DIV/0!</v>
      </c>
      <c r="J9" s="16"/>
      <c r="K9" s="14"/>
      <c r="L9" s="14"/>
    </row>
    <row r="10" spans="1:14" x14ac:dyDescent="0.25">
      <c r="A10" s="14">
        <v>2</v>
      </c>
      <c r="B10" s="14">
        <v>55</v>
      </c>
      <c r="C10" s="14">
        <v>45</v>
      </c>
      <c r="D10" s="14">
        <v>39</v>
      </c>
      <c r="E10" s="15"/>
      <c r="F10" s="15">
        <f>E10/0.3</f>
        <v>0</v>
      </c>
      <c r="G10" s="14">
        <v>0.05</v>
      </c>
      <c r="H10" s="14"/>
      <c r="I10" s="16" t="e">
        <f>800/F10</f>
        <v>#DIV/0!</v>
      </c>
      <c r="J10" s="16"/>
      <c r="K10" s="14"/>
      <c r="L10" s="14"/>
    </row>
    <row r="11" spans="1:14" x14ac:dyDescent="0.25">
      <c r="A11" s="14">
        <v>14</v>
      </c>
      <c r="B11" s="14">
        <v>44</v>
      </c>
      <c r="C11" s="14">
        <v>57</v>
      </c>
      <c r="D11" s="14">
        <v>59</v>
      </c>
      <c r="E11" s="15"/>
      <c r="F11" s="15">
        <f>E11/0.3</f>
        <v>0</v>
      </c>
      <c r="G11" s="14">
        <v>0.05</v>
      </c>
      <c r="H11" s="14"/>
      <c r="I11" s="16" t="e">
        <f>800/F11</f>
        <v>#DIV/0!</v>
      </c>
      <c r="J11" s="16"/>
      <c r="K11" s="14"/>
      <c r="L11" s="14"/>
    </row>
    <row r="12" spans="1:14" x14ac:dyDescent="0.25">
      <c r="A12" s="14">
        <v>5</v>
      </c>
      <c r="B12" s="14">
        <v>66</v>
      </c>
      <c r="C12" s="14">
        <v>49</v>
      </c>
      <c r="D12" s="14">
        <v>45</v>
      </c>
      <c r="E12" s="15"/>
      <c r="F12" s="15">
        <f>E12/0.3</f>
        <v>0</v>
      </c>
      <c r="G12" s="14">
        <v>0.05</v>
      </c>
      <c r="H12" s="14"/>
      <c r="I12" s="16" t="e">
        <f>800/F12</f>
        <v>#DIV/0!</v>
      </c>
      <c r="J12" s="16"/>
      <c r="K12" s="14"/>
      <c r="L12" s="14"/>
    </row>
    <row r="13" spans="1:14" x14ac:dyDescent="0.25">
      <c r="J13" s="5"/>
    </row>
    <row r="14" spans="1:14" x14ac:dyDescent="0.25">
      <c r="A14" s="17">
        <v>15</v>
      </c>
      <c r="B14" s="17">
        <v>42</v>
      </c>
      <c r="C14" s="17">
        <v>51</v>
      </c>
      <c r="D14" s="17">
        <v>31</v>
      </c>
      <c r="E14" s="18"/>
      <c r="F14" s="18">
        <f>E14/0.3</f>
        <v>0</v>
      </c>
      <c r="G14" s="17">
        <v>0.05</v>
      </c>
      <c r="H14" s="17"/>
      <c r="I14" s="19" t="e">
        <f>800/F14</f>
        <v>#DIV/0!</v>
      </c>
      <c r="J14" s="19"/>
      <c r="K14" s="17"/>
      <c r="L14" s="17"/>
    </row>
    <row r="15" spans="1:14" x14ac:dyDescent="0.25">
      <c r="A15" s="17">
        <v>8</v>
      </c>
      <c r="B15" s="17">
        <v>58</v>
      </c>
      <c r="C15" s="17">
        <v>59</v>
      </c>
      <c r="D15" s="17">
        <v>59</v>
      </c>
      <c r="E15" s="18"/>
      <c r="F15" s="18">
        <f>E15/0.3</f>
        <v>0</v>
      </c>
      <c r="G15" s="17">
        <v>0.05</v>
      </c>
      <c r="H15" s="17"/>
      <c r="I15" s="19" t="e">
        <f>800/F15</f>
        <v>#DIV/0!</v>
      </c>
      <c r="J15" s="19"/>
      <c r="K15" s="17"/>
      <c r="L15" s="17"/>
    </row>
    <row r="16" spans="1:14" x14ac:dyDescent="0.25">
      <c r="A16" s="17">
        <v>9</v>
      </c>
      <c r="B16" s="17">
        <v>41</v>
      </c>
      <c r="C16" s="17">
        <v>31</v>
      </c>
      <c r="D16" s="17">
        <v>48</v>
      </c>
      <c r="E16" s="18"/>
      <c r="F16" s="18">
        <f>E16/0.3</f>
        <v>0</v>
      </c>
      <c r="G16" s="17">
        <v>0.05</v>
      </c>
      <c r="H16" s="17"/>
      <c r="I16" s="19" t="e">
        <f>800/F16</f>
        <v>#DIV/0!</v>
      </c>
      <c r="J16" s="19"/>
      <c r="K16" s="17"/>
      <c r="L16" s="17"/>
    </row>
    <row r="17" spans="1:12" x14ac:dyDescent="0.25">
      <c r="A17" s="17">
        <v>10</v>
      </c>
      <c r="B17" s="17">
        <v>55</v>
      </c>
      <c r="C17" s="17">
        <v>53</v>
      </c>
      <c r="D17" s="17">
        <v>47</v>
      </c>
      <c r="E17" s="18"/>
      <c r="F17" s="18">
        <f>E17/0.3</f>
        <v>0</v>
      </c>
      <c r="G17" s="17">
        <v>0.05</v>
      </c>
      <c r="H17" s="17"/>
      <c r="I17" s="19" t="e">
        <f>800/F17</f>
        <v>#DIV/0!</v>
      </c>
      <c r="J17" s="19"/>
      <c r="K17" s="17"/>
      <c r="L17" s="17"/>
    </row>
    <row r="18" spans="1:12" x14ac:dyDescent="0.25">
      <c r="A18" s="17">
        <v>7</v>
      </c>
      <c r="B18" s="17">
        <v>63</v>
      </c>
      <c r="C18" s="17">
        <v>69</v>
      </c>
      <c r="D18" s="17">
        <v>69</v>
      </c>
      <c r="E18" s="18"/>
      <c r="F18" s="18">
        <f>E18/0.3</f>
        <v>0</v>
      </c>
      <c r="G18" s="17">
        <v>0.05</v>
      </c>
      <c r="H18" s="17"/>
      <c r="I18" s="19" t="e">
        <f>800/F18</f>
        <v>#DIV/0!</v>
      </c>
      <c r="J18" s="17"/>
      <c r="K18" s="17"/>
      <c r="L18" s="17"/>
    </row>
    <row r="20" spans="1:12" x14ac:dyDescent="0.25">
      <c r="A20" s="6">
        <v>4</v>
      </c>
      <c r="B20" s="6">
        <v>42</v>
      </c>
      <c r="C20" s="6">
        <v>47</v>
      </c>
      <c r="D20" s="6">
        <v>54</v>
      </c>
      <c r="E20" s="7"/>
      <c r="F20" s="7">
        <f>E20/0.3</f>
        <v>0</v>
      </c>
      <c r="G20" s="6">
        <v>0.05</v>
      </c>
      <c r="H20" s="6"/>
      <c r="I20" s="8" t="e">
        <f>800/F20</f>
        <v>#DIV/0!</v>
      </c>
    </row>
  </sheetData>
  <sortState xmlns:xlrd2="http://schemas.microsoft.com/office/spreadsheetml/2017/richdata2" ref="A2:G17">
    <sortCondition ref="G2:G1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Mendelson, Alex</dc:creator>
  <cp:lastModifiedBy>Mendelson, Alex</cp:lastModifiedBy>
  <dcterms:created xsi:type="dcterms:W3CDTF">2026-02-03T00:43:25Z</dcterms:created>
  <dcterms:modified xsi:type="dcterms:W3CDTF">2026-02-03T15:56:03Z</dcterms:modified>
</cp:coreProperties>
</file>