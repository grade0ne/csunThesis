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t\Documents\projectCSUN\csunThesisRepo\data\complementarity\"/>
    </mc:Choice>
  </mc:AlternateContent>
  <xr:revisionPtr revIDLastSave="0" documentId="13_ncr:1_{FA4EDB5E-E546-4F3B-89E7-B4E2B64BCEBF}" xr6:coauthVersionLast="47" xr6:coauthVersionMax="47" xr10:uidLastSave="{00000000-0000-0000-0000-000000000000}"/>
  <bookViews>
    <workbookView xWindow="-120" yWindow="-120" windowWidth="29040" windowHeight="15720" xr2:uid="{55E80E2A-D0E6-46F0-8B77-35CBC3976946}"/>
  </bookViews>
  <sheets>
    <sheet name="Sheet1" sheetId="1" r:id="rId1"/>
    <sheet name="block 2" sheetId="4" r:id="rId2"/>
    <sheet name="day 1 feb 3" sheetId="2" r:id="rId3"/>
    <sheet name="counts 2 19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2" i="4"/>
  <c r="E18" i="1"/>
  <c r="F18" i="1" s="1"/>
  <c r="I18" i="1" s="1"/>
  <c r="E19" i="1"/>
  <c r="F19" i="1" s="1"/>
  <c r="I19" i="1" s="1"/>
  <c r="E20" i="1"/>
  <c r="F20" i="1" s="1"/>
  <c r="I20" i="1" s="1"/>
  <c r="E21" i="1"/>
  <c r="F21" i="1" s="1"/>
  <c r="I21" i="1" s="1"/>
  <c r="E17" i="1"/>
  <c r="F17" i="1" s="1"/>
  <c r="I17" i="1" s="1"/>
  <c r="H18" i="1"/>
  <c r="H19" i="1"/>
  <c r="H20" i="1"/>
  <c r="H21" i="1"/>
  <c r="H17" i="1"/>
  <c r="Q19" i="1"/>
  <c r="R19" i="1"/>
  <c r="Q20" i="1"/>
  <c r="R20" i="1"/>
  <c r="Q18" i="1"/>
  <c r="R18" i="1" s="1"/>
  <c r="R21" i="1" s="1"/>
  <c r="H11" i="1"/>
  <c r="H12" i="1"/>
  <c r="H13" i="1"/>
  <c r="H14" i="1"/>
  <c r="H10" i="1"/>
  <c r="Q12" i="1"/>
  <c r="R12" i="1" s="1"/>
  <c r="Q13" i="1"/>
  <c r="R13" i="1" s="1"/>
  <c r="Q11" i="1"/>
  <c r="R11" i="1" s="1"/>
  <c r="R14" i="1" s="1"/>
  <c r="E12" i="1"/>
  <c r="E13" i="1"/>
  <c r="F13" i="1" s="1"/>
  <c r="I13" i="1" s="1"/>
  <c r="L13" i="1" s="1"/>
  <c r="E14" i="1"/>
  <c r="F14" i="1" s="1"/>
  <c r="I14" i="1" s="1"/>
  <c r="L14" i="1" s="1"/>
  <c r="E11" i="1"/>
  <c r="E10" i="1"/>
  <c r="F10" i="1" s="1"/>
  <c r="I10" i="1" s="1"/>
  <c r="L10" i="1" s="1"/>
  <c r="F11" i="1"/>
  <c r="I11" i="1" s="1"/>
  <c r="L11" i="1" s="1"/>
  <c r="F12" i="1"/>
  <c r="I12" i="1" s="1"/>
  <c r="J12" i="1" s="1"/>
  <c r="H4" i="1"/>
  <c r="H5" i="1"/>
  <c r="H6" i="1"/>
  <c r="H7" i="1"/>
  <c r="H3" i="1"/>
  <c r="F23" i="1"/>
  <c r="I23" i="1" s="1"/>
  <c r="E5" i="1"/>
  <c r="F5" i="1" s="1"/>
  <c r="E3" i="1"/>
  <c r="F3" i="1" s="1"/>
  <c r="I3" i="1" s="1"/>
  <c r="J3" i="1" s="1"/>
  <c r="E4" i="1"/>
  <c r="F4" i="1" s="1"/>
  <c r="I4" i="1" s="1"/>
  <c r="J4" i="1" s="1"/>
  <c r="E6" i="1"/>
  <c r="F6" i="1" s="1"/>
  <c r="I6" i="1" s="1"/>
  <c r="J6" i="1" s="1"/>
  <c r="E7" i="1"/>
  <c r="F7" i="1" s="1"/>
  <c r="I7" i="1" s="1"/>
  <c r="J7" i="1" s="1"/>
  <c r="K10" i="1" l="1"/>
  <c r="N10" i="1"/>
  <c r="K14" i="1"/>
  <c r="K13" i="1"/>
  <c r="K12" i="1"/>
  <c r="K11" i="1"/>
  <c r="J10" i="1"/>
  <c r="J14" i="1"/>
  <c r="J13" i="1"/>
  <c r="J11" i="1"/>
  <c r="M10" i="1"/>
  <c r="I5" i="1"/>
  <c r="K5" i="1" s="1"/>
  <c r="L5" i="1" s="1"/>
  <c r="L12" i="1"/>
  <c r="L21" i="1"/>
  <c r="J21" i="1"/>
  <c r="L17" i="1"/>
  <c r="J17" i="1"/>
  <c r="J18" i="1"/>
  <c r="L18" i="1"/>
  <c r="K18" i="1"/>
  <c r="J20" i="1"/>
  <c r="L20" i="1"/>
  <c r="K20" i="1"/>
  <c r="L19" i="1"/>
  <c r="K19" i="1"/>
  <c r="J19" i="1"/>
  <c r="K17" i="1"/>
  <c r="K21" i="1"/>
  <c r="K3" i="1"/>
  <c r="L3" i="1" s="1"/>
  <c r="K4" i="1"/>
  <c r="L4" i="1" s="1"/>
  <c r="K7" i="1"/>
  <c r="L7" i="1" s="1"/>
  <c r="K6" i="1"/>
  <c r="L6" i="1" s="1"/>
  <c r="J5" i="1" l="1"/>
  <c r="M3" i="1" s="1"/>
  <c r="N3" i="1" s="1"/>
  <c r="N17" i="1"/>
  <c r="M17" i="1"/>
</calcChain>
</file>

<file path=xl/sharedStrings.xml><?xml version="1.0" encoding="utf-8"?>
<sst xmlns="http://schemas.openxmlformats.org/spreadsheetml/2006/main" count="382" uniqueCount="62">
  <si>
    <t>clone</t>
  </si>
  <si>
    <t>count1</t>
  </si>
  <si>
    <t>count2</t>
  </si>
  <si>
    <t>count3</t>
  </si>
  <si>
    <t>average</t>
  </si>
  <si>
    <t>per_ml</t>
  </si>
  <si>
    <t>bact</t>
  </si>
  <si>
    <t>protist</t>
  </si>
  <si>
    <t>rotifers</t>
  </si>
  <si>
    <t>topoff_comp</t>
  </si>
  <si>
    <t>topoff_nocomp</t>
  </si>
  <si>
    <t>mix</t>
  </si>
  <si>
    <t>topoff_mix_c</t>
  </si>
  <si>
    <t>topoff_mix_nc</t>
  </si>
  <si>
    <t xml:space="preserve">Day </t>
  </si>
  <si>
    <t>Treatment</t>
  </si>
  <si>
    <t>Low</t>
  </si>
  <si>
    <t>High</t>
  </si>
  <si>
    <t>A</t>
  </si>
  <si>
    <t>B</t>
  </si>
  <si>
    <t>C</t>
  </si>
  <si>
    <t>D</t>
  </si>
  <si>
    <t>E</t>
  </si>
  <si>
    <t>Completeition</t>
  </si>
  <si>
    <t>Mixed</t>
  </si>
  <si>
    <t xml:space="preserve">Replicates </t>
  </si>
  <si>
    <t>rotifer method</t>
  </si>
  <si>
    <t xml:space="preserve"> protist method:</t>
  </si>
  <si>
    <t>full</t>
  </si>
  <si>
    <t>line</t>
  </si>
  <si>
    <t>saw one but wasn’t  moving</t>
  </si>
  <si>
    <t xml:space="preserve">recheck this 5 </t>
  </si>
  <si>
    <t>3 but recheck I saw protist</t>
  </si>
  <si>
    <t>1 but wasn’t moving</t>
  </si>
  <si>
    <t>sefcond time found 1 rotifer no protistt</t>
  </si>
  <si>
    <t xml:space="preserve">found protist </t>
  </si>
  <si>
    <t xml:space="preserve">clones </t>
  </si>
  <si>
    <t>a5</t>
  </si>
  <si>
    <t>A6</t>
  </si>
  <si>
    <t>C4</t>
  </si>
  <si>
    <t>C6</t>
  </si>
  <si>
    <t>D4</t>
  </si>
  <si>
    <t>D5</t>
  </si>
  <si>
    <t>D6</t>
  </si>
  <si>
    <t>E5</t>
  </si>
  <si>
    <t>E6</t>
  </si>
  <si>
    <t>count</t>
  </si>
  <si>
    <t xml:space="preserve">Fail cultures </t>
  </si>
  <si>
    <t>note</t>
  </si>
  <si>
    <t>HP-3</t>
  </si>
  <si>
    <t xml:space="preserve">note </t>
  </si>
  <si>
    <t xml:space="preserve">protist didn’t do counts because their not able to be used </t>
  </si>
  <si>
    <t>protist counts:</t>
  </si>
  <si>
    <t>per  ml</t>
  </si>
  <si>
    <t>&lt;- avg</t>
  </si>
  <si>
    <t>Culture</t>
  </si>
  <si>
    <t>Clone #</t>
  </si>
  <si>
    <t>Volume (ml)</t>
  </si>
  <si>
    <t>uL x 2</t>
  </si>
  <si>
    <t>BLOCK 1</t>
  </si>
  <si>
    <t>BLOCK 0</t>
  </si>
  <si>
    <t>BLOCK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</si>
</sst>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2" borderId="1" xfId="0" applyFill="1" applyBorder="1"/>
    <xf numFmtId="2" fontId="0" fillId="2" borderId="1" xfId="0" applyNumberFormat="1" applyFill="1" applyBorder="1"/>
    <xf numFmtId="164" fontId="1" fillId="2" borderId="1" xfId="0" applyNumberFormat="1" applyFont="1" applyFill="1" applyBorder="1"/>
    <xf numFmtId="0" fontId="2" fillId="0" borderId="0" xfId="0" applyFont="1"/>
    <xf numFmtId="2" fontId="2" fillId="0" borderId="0" xfId="0" applyNumberFormat="1" applyFont="1"/>
    <xf numFmtId="164" fontId="3" fillId="0" borderId="0" xfId="0" applyNumberFormat="1" applyFont="1"/>
    <xf numFmtId="164" fontId="0" fillId="0" borderId="1" xfId="0" applyNumberFormat="1" applyBorder="1"/>
    <xf numFmtId="164" fontId="0" fillId="0" borderId="3" xfId="0" applyNumberFormat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164" fontId="1" fillId="3" borderId="1" xfId="0" applyNumberFormat="1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164" fontId="1" fillId="4" borderId="1" xfId="0" applyNumberFormat="1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5" fillId="0" borderId="0" xfId="0" applyFont="1"/>
    <xf numFmtId="164" fontId="0" fillId="3" borderId="1" xfId="0" applyNumberFormat="1" applyFill="1" applyBorder="1"/>
    <xf numFmtId="164" fontId="0" fillId="4" borderId="1" xfId="0" applyNumberFormat="1" applyFill="1" applyBorder="1"/>
    <xf numFmtId="0" fontId="0" fillId="4" borderId="0" xfId="0" applyFill="1" applyBorder="1"/>
    <xf numFmtId="0" fontId="1" fillId="0" borderId="0" xfId="0" applyFont="1"/>
    <xf numFmtId="1" fontId="1" fillId="0" borderId="0" xfId="0" applyNumberFormat="1" applyFont="1"/>
    <xf numFmtId="0" fontId="0" fillId="0" borderId="0" xfId="0" applyFill="1" applyBorder="1"/>
    <xf numFmtId="2" fontId="0" fillId="0" borderId="0" xfId="0" applyNumberFormat="1" applyFill="1" applyBorder="1"/>
    <xf numFmtId="164" fontId="1" fillId="0" borderId="0" xfId="0" applyNumberFormat="1" applyFon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9CF7-398C-4C16-BC5E-A2E563F1A358}">
  <dimension ref="A1:S23"/>
  <sheetViews>
    <sheetView tabSelected="1" zoomScale="157" zoomScaleNormal="145" workbookViewId="0">
      <pane xSplit="1" topLeftCell="B1" activePane="topRight" state="frozen"/>
      <selection pane="topRight" activeCell="A16" sqref="A16"/>
    </sheetView>
  </sheetViews>
  <sheetFormatPr defaultColWidth="8.875" defaultRowHeight="15.75" x14ac:dyDescent="0.25"/>
  <cols>
    <col min="1" max="1" width="8" bestFit="1" customWidth="1"/>
    <col min="4" max="4" width="9" customWidth="1"/>
    <col min="5" max="5" width="10" customWidth="1"/>
    <col min="6" max="6" width="6.5" bestFit="1" customWidth="1"/>
    <col min="10" max="10" width="5.5" bestFit="1" customWidth="1"/>
    <col min="11" max="12" width="13.125" bestFit="1" customWidth="1"/>
    <col min="13" max="13" width="11.125" bestFit="1" customWidth="1"/>
    <col min="14" max="14" width="12.25" bestFit="1" customWidth="1"/>
  </cols>
  <sheetData>
    <row r="1" spans="1:19" x14ac:dyDescent="0.25">
      <c r="A1" t="s">
        <v>60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9</v>
      </c>
      <c r="L2" t="s">
        <v>10</v>
      </c>
      <c r="M2" t="s">
        <v>12</v>
      </c>
      <c r="N2" t="s">
        <v>13</v>
      </c>
    </row>
    <row r="3" spans="1:19" x14ac:dyDescent="0.25">
      <c r="A3" s="2">
        <v>11</v>
      </c>
      <c r="B3" s="2">
        <v>55</v>
      </c>
      <c r="C3" s="2">
        <v>64</v>
      </c>
      <c r="D3" s="2">
        <v>51</v>
      </c>
      <c r="E3" s="3">
        <f>AVERAGE(B3:D3)</f>
        <v>56.666666666666664</v>
      </c>
      <c r="F3" s="3">
        <f>E3/0.3</f>
        <v>188.88888888888889</v>
      </c>
      <c r="G3" s="2">
        <v>0.05</v>
      </c>
      <c r="H3" s="2">
        <f>800/448</f>
        <v>1.7857142857142858</v>
      </c>
      <c r="I3" s="4">
        <f>400/F3</f>
        <v>2.1176470588235294</v>
      </c>
      <c r="J3" s="10">
        <f>I3/5</f>
        <v>0.42352941176470588</v>
      </c>
      <c r="K3" s="10">
        <f>20-(I3+G3+H3)</f>
        <v>16.046638655462186</v>
      </c>
      <c r="L3" s="10">
        <f>K3+H3</f>
        <v>17.83235294117647</v>
      </c>
      <c r="M3" s="9">
        <f>20-(H3+(SUM(J3:J7))+G3)</f>
        <v>15.776388664990193</v>
      </c>
      <c r="N3" s="8">
        <f>M3-H3</f>
        <v>13.990674379275907</v>
      </c>
    </row>
    <row r="4" spans="1:19" x14ac:dyDescent="0.25">
      <c r="A4" s="2">
        <v>12</v>
      </c>
      <c r="B4" s="2">
        <v>30</v>
      </c>
      <c r="C4" s="2">
        <v>38</v>
      </c>
      <c r="D4" s="2">
        <v>38</v>
      </c>
      <c r="E4" s="3">
        <f>AVERAGE(B4:D4)</f>
        <v>35.333333333333336</v>
      </c>
      <c r="F4" s="3">
        <f>E4/0.3</f>
        <v>117.77777777777779</v>
      </c>
      <c r="G4" s="2">
        <v>0.05</v>
      </c>
      <c r="H4" s="2">
        <f t="shared" ref="H4:H7" si="0">800/448</f>
        <v>1.7857142857142858</v>
      </c>
      <c r="I4" s="4">
        <f t="shared" ref="I4:I7" si="1">400/F4</f>
        <v>3.3962264150943393</v>
      </c>
      <c r="J4" s="10">
        <f t="shared" ref="J4:J7" si="2">I4/5</f>
        <v>0.67924528301886788</v>
      </c>
      <c r="K4" s="10">
        <f>20-(I4+G4+H4)</f>
        <v>14.768059299191375</v>
      </c>
      <c r="L4" s="10">
        <f t="shared" ref="L4:L7" si="3">K4+H4</f>
        <v>16.55377358490566</v>
      </c>
      <c r="M4" s="1"/>
      <c r="N4" s="1"/>
    </row>
    <row r="5" spans="1:19" x14ac:dyDescent="0.25">
      <c r="A5" s="2">
        <v>6</v>
      </c>
      <c r="B5" s="2">
        <v>56</v>
      </c>
      <c r="C5" s="2">
        <v>47</v>
      </c>
      <c r="D5" s="2">
        <v>58</v>
      </c>
      <c r="E5" s="3">
        <f>AVERAGE(B5:D5)</f>
        <v>53.666666666666664</v>
      </c>
      <c r="F5" s="3">
        <f>E5/0.3</f>
        <v>178.88888888888889</v>
      </c>
      <c r="G5" s="2">
        <v>0.05</v>
      </c>
      <c r="H5" s="2">
        <f t="shared" si="0"/>
        <v>1.7857142857142858</v>
      </c>
      <c r="I5" s="4">
        <f>400/F5</f>
        <v>2.2360248447204971</v>
      </c>
      <c r="J5" s="10">
        <f t="shared" si="2"/>
        <v>0.44720496894409945</v>
      </c>
      <c r="K5" s="10">
        <f>20-(I5+G5+H5)</f>
        <v>15.928260869565218</v>
      </c>
      <c r="L5" s="10">
        <f t="shared" si="3"/>
        <v>17.713975155279503</v>
      </c>
      <c r="M5" s="1"/>
      <c r="N5" s="1"/>
    </row>
    <row r="6" spans="1:19" x14ac:dyDescent="0.25">
      <c r="A6" s="2">
        <v>17</v>
      </c>
      <c r="B6" s="2">
        <v>56</v>
      </c>
      <c r="C6" s="2">
        <v>58</v>
      </c>
      <c r="D6" s="2">
        <v>53</v>
      </c>
      <c r="E6" s="3">
        <f>AVERAGE(B6:D6)</f>
        <v>55.666666666666664</v>
      </c>
      <c r="F6" s="3">
        <f>E6/0.3</f>
        <v>185.55555555555554</v>
      </c>
      <c r="G6" s="2">
        <v>0.05</v>
      </c>
      <c r="H6" s="2">
        <f t="shared" si="0"/>
        <v>1.7857142857142858</v>
      </c>
      <c r="I6" s="4">
        <f t="shared" si="1"/>
        <v>2.1556886227544911</v>
      </c>
      <c r="J6" s="10">
        <f t="shared" si="2"/>
        <v>0.43113772455089822</v>
      </c>
      <c r="K6" s="10">
        <f>20-(I6+G6+H6)</f>
        <v>16.008597091531222</v>
      </c>
      <c r="L6" s="10">
        <f t="shared" si="3"/>
        <v>17.794311377245506</v>
      </c>
      <c r="M6" s="1"/>
      <c r="N6" s="1"/>
    </row>
    <row r="7" spans="1:19" x14ac:dyDescent="0.25">
      <c r="A7" s="2">
        <v>1</v>
      </c>
      <c r="B7" s="2">
        <v>52</v>
      </c>
      <c r="C7" s="2">
        <v>67</v>
      </c>
      <c r="D7" s="2">
        <v>58</v>
      </c>
      <c r="E7" s="3">
        <f>AVERAGE(B7:D7)</f>
        <v>59</v>
      </c>
      <c r="F7" s="3">
        <f>E7/0.3</f>
        <v>196.66666666666669</v>
      </c>
      <c r="G7" s="2">
        <v>0.05</v>
      </c>
      <c r="H7" s="2">
        <f t="shared" si="0"/>
        <v>1.7857142857142858</v>
      </c>
      <c r="I7" s="4">
        <f t="shared" si="1"/>
        <v>2.0338983050847457</v>
      </c>
      <c r="J7" s="10">
        <f t="shared" si="2"/>
        <v>0.40677966101694912</v>
      </c>
      <c r="K7" s="11">
        <f>20-(I7+G7+H7)</f>
        <v>16.130387409200971</v>
      </c>
      <c r="L7" s="10">
        <f t="shared" si="3"/>
        <v>17.916101694915255</v>
      </c>
      <c r="M7" s="1"/>
      <c r="N7" s="1"/>
    </row>
    <row r="8" spans="1:19" x14ac:dyDescent="0.25">
      <c r="A8" s="26" t="s">
        <v>59</v>
      </c>
      <c r="B8" s="26"/>
      <c r="C8" s="26"/>
      <c r="D8" s="26"/>
      <c r="E8" s="27"/>
      <c r="F8" s="27"/>
      <c r="G8" s="26"/>
      <c r="H8" s="26"/>
      <c r="I8" s="28"/>
      <c r="J8" s="29"/>
      <c r="K8" s="29"/>
      <c r="L8" s="29"/>
      <c r="M8" s="1"/>
      <c r="N8" s="1"/>
    </row>
    <row r="9" spans="1:19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11</v>
      </c>
      <c r="K9" t="s">
        <v>9</v>
      </c>
      <c r="L9" t="s">
        <v>10</v>
      </c>
      <c r="M9" t="s">
        <v>12</v>
      </c>
      <c r="N9" t="s">
        <v>13</v>
      </c>
    </row>
    <row r="10" spans="1:19" x14ac:dyDescent="0.25">
      <c r="A10" s="12">
        <v>16</v>
      </c>
      <c r="B10" s="12">
        <v>26</v>
      </c>
      <c r="C10" s="12">
        <v>18</v>
      </c>
      <c r="D10" s="12">
        <v>26</v>
      </c>
      <c r="E10" s="13">
        <f>AVERAGE(B10:D10)</f>
        <v>23.333333333333332</v>
      </c>
      <c r="F10" s="13">
        <f>E10*10</f>
        <v>233.33333333333331</v>
      </c>
      <c r="G10" s="12">
        <v>0</v>
      </c>
      <c r="H10" s="12">
        <f>800/5757</f>
        <v>0.13896126454750737</v>
      </c>
      <c r="I10" s="14">
        <f>400/F10</f>
        <v>1.7142857142857144</v>
      </c>
      <c r="J10" s="14">
        <f>I10/5</f>
        <v>0.34285714285714286</v>
      </c>
      <c r="K10" s="21">
        <f>20 - (H10+I10)</f>
        <v>18.146753021166777</v>
      </c>
      <c r="L10" s="21">
        <f>(20-I10)</f>
        <v>18.285714285714285</v>
      </c>
      <c r="M10" s="1">
        <f>20-(SUM(J10:J14)+H10)</f>
        <v>18.417644346708705</v>
      </c>
      <c r="N10" s="1">
        <f>20-SUM(J10:J14)</f>
        <v>18.556605611256213</v>
      </c>
      <c r="P10" t="s">
        <v>52</v>
      </c>
      <c r="R10" t="s">
        <v>53</v>
      </c>
    </row>
    <row r="11" spans="1:19" x14ac:dyDescent="0.25">
      <c r="A11" s="12">
        <v>3</v>
      </c>
      <c r="B11" s="12">
        <v>46</v>
      </c>
      <c r="C11" s="12">
        <v>45</v>
      </c>
      <c r="D11" s="12">
        <v>34</v>
      </c>
      <c r="E11" s="13">
        <f>AVERAGE(B11:D11)</f>
        <v>41.666666666666664</v>
      </c>
      <c r="F11" s="13">
        <f t="shared" ref="F11:F14" si="4">E11*10</f>
        <v>416.66666666666663</v>
      </c>
      <c r="G11" s="12">
        <v>0</v>
      </c>
      <c r="H11" s="12">
        <f t="shared" ref="H11:H14" si="5">800/5757</f>
        <v>0.13896126454750737</v>
      </c>
      <c r="I11" s="14">
        <f t="shared" ref="I11:I14" si="6">400/F11</f>
        <v>0.96000000000000008</v>
      </c>
      <c r="J11" s="14">
        <f t="shared" ref="J11:J14" si="7">I11/5</f>
        <v>0.192</v>
      </c>
      <c r="K11" s="21">
        <f t="shared" ref="K11:K14" si="8">20 - (H11+I11)</f>
        <v>18.901038735452492</v>
      </c>
      <c r="L11" s="21">
        <f t="shared" ref="L11:L14" si="9">(20-I11)</f>
        <v>19.04</v>
      </c>
      <c r="P11">
        <v>87</v>
      </c>
      <c r="Q11">
        <f>P11*6.8</f>
        <v>591.6</v>
      </c>
      <c r="R11">
        <f>Q11*10</f>
        <v>5916</v>
      </c>
    </row>
    <row r="12" spans="1:19" x14ac:dyDescent="0.25">
      <c r="A12" s="12">
        <v>2</v>
      </c>
      <c r="B12" s="12">
        <v>31</v>
      </c>
      <c r="C12" s="12">
        <v>28</v>
      </c>
      <c r="D12" s="12">
        <v>24</v>
      </c>
      <c r="E12" s="13">
        <f t="shared" ref="E12:E14" si="10">AVERAGE(B12:D12)</f>
        <v>27.666666666666668</v>
      </c>
      <c r="F12" s="13">
        <f t="shared" si="4"/>
        <v>276.66666666666669</v>
      </c>
      <c r="G12" s="12">
        <v>0</v>
      </c>
      <c r="H12" s="12">
        <f t="shared" si="5"/>
        <v>0.13896126454750737</v>
      </c>
      <c r="I12" s="14">
        <f t="shared" si="6"/>
        <v>1.4457831325301205</v>
      </c>
      <c r="J12" s="14">
        <f>I12/5</f>
        <v>0.28915662650602408</v>
      </c>
      <c r="K12" s="21">
        <f t="shared" si="8"/>
        <v>18.415255602922372</v>
      </c>
      <c r="L12" s="21">
        <f t="shared" si="9"/>
        <v>18.554216867469879</v>
      </c>
      <c r="P12">
        <v>79</v>
      </c>
      <c r="Q12">
        <f t="shared" ref="Q12:Q13" si="11">P12*6.8</f>
        <v>537.19999999999993</v>
      </c>
      <c r="R12">
        <f t="shared" ref="R12:R13" si="12">Q12*10</f>
        <v>5371.9999999999991</v>
      </c>
    </row>
    <row r="13" spans="1:19" x14ac:dyDescent="0.25">
      <c r="A13" s="12">
        <v>14</v>
      </c>
      <c r="B13" s="12">
        <v>32</v>
      </c>
      <c r="C13" s="12">
        <v>25</v>
      </c>
      <c r="D13" s="12">
        <v>21</v>
      </c>
      <c r="E13" s="13">
        <f t="shared" si="10"/>
        <v>26</v>
      </c>
      <c r="F13" s="13">
        <f t="shared" si="4"/>
        <v>260</v>
      </c>
      <c r="G13" s="12">
        <v>0</v>
      </c>
      <c r="H13" s="12">
        <f t="shared" si="5"/>
        <v>0.13896126454750737</v>
      </c>
      <c r="I13" s="14">
        <f t="shared" si="6"/>
        <v>1.5384615384615385</v>
      </c>
      <c r="J13" s="14">
        <f t="shared" si="7"/>
        <v>0.30769230769230771</v>
      </c>
      <c r="K13" s="21">
        <f t="shared" si="8"/>
        <v>18.322577196990956</v>
      </c>
      <c r="L13" s="21">
        <f t="shared" si="9"/>
        <v>18.46153846153846</v>
      </c>
      <c r="P13">
        <v>88</v>
      </c>
      <c r="Q13">
        <f t="shared" si="11"/>
        <v>598.4</v>
      </c>
      <c r="R13">
        <f t="shared" si="12"/>
        <v>5984</v>
      </c>
    </row>
    <row r="14" spans="1:19" x14ac:dyDescent="0.25">
      <c r="A14" s="12">
        <v>5</v>
      </c>
      <c r="B14" s="12">
        <v>25</v>
      </c>
      <c r="C14" s="12">
        <v>24</v>
      </c>
      <c r="D14" s="12">
        <v>28</v>
      </c>
      <c r="E14" s="13">
        <f t="shared" si="10"/>
        <v>25.666666666666668</v>
      </c>
      <c r="F14" s="13">
        <f t="shared" si="4"/>
        <v>256.66666666666669</v>
      </c>
      <c r="G14" s="12">
        <v>0</v>
      </c>
      <c r="H14" s="12">
        <f t="shared" si="5"/>
        <v>0.13896126454750737</v>
      </c>
      <c r="I14" s="14">
        <f t="shared" si="6"/>
        <v>1.5584415584415583</v>
      </c>
      <c r="J14" s="14">
        <f t="shared" si="7"/>
        <v>0.31168831168831168</v>
      </c>
      <c r="K14" s="21">
        <f t="shared" si="8"/>
        <v>18.302597177010934</v>
      </c>
      <c r="L14" s="21">
        <f t="shared" si="9"/>
        <v>18.441558441558442</v>
      </c>
      <c r="R14">
        <f>AVERAGE(R11:R13)</f>
        <v>5757.333333333333</v>
      </c>
      <c r="S14" t="s">
        <v>54</v>
      </c>
    </row>
    <row r="15" spans="1:19" x14ac:dyDescent="0.25">
      <c r="A15" s="26" t="s">
        <v>61</v>
      </c>
      <c r="B15" s="26"/>
      <c r="C15" s="26"/>
      <c r="D15" s="26"/>
      <c r="E15" s="27"/>
      <c r="F15" s="27"/>
      <c r="G15" s="26"/>
      <c r="H15" s="26"/>
      <c r="I15" s="28"/>
      <c r="J15" s="28"/>
      <c r="K15" s="29"/>
      <c r="L15" s="29"/>
    </row>
    <row r="16" spans="1:19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11</v>
      </c>
      <c r="K16" t="s">
        <v>9</v>
      </c>
      <c r="L16" t="s">
        <v>10</v>
      </c>
      <c r="M16" t="s">
        <v>12</v>
      </c>
      <c r="N16" t="s">
        <v>13</v>
      </c>
    </row>
    <row r="17" spans="1:19" x14ac:dyDescent="0.25">
      <c r="A17" s="15">
        <v>7</v>
      </c>
      <c r="B17" s="15">
        <v>129</v>
      </c>
      <c r="C17" s="15">
        <v>116</v>
      </c>
      <c r="D17" s="15">
        <v>79</v>
      </c>
      <c r="E17" s="15">
        <f>AVERAGE(B17:D17)</f>
        <v>108</v>
      </c>
      <c r="F17" s="16">
        <f>E17/0.3</f>
        <v>360</v>
      </c>
      <c r="G17" s="15">
        <v>0</v>
      </c>
      <c r="H17" s="15">
        <f>800/3128</f>
        <v>0.25575447570332482</v>
      </c>
      <c r="I17" s="17">
        <f>400/F17</f>
        <v>1.1111111111111112</v>
      </c>
      <c r="J17" s="17">
        <f>I17/5</f>
        <v>0.22222222222222224</v>
      </c>
      <c r="K17" s="22">
        <f>20 - (H17+I17)</f>
        <v>18.633134413185566</v>
      </c>
      <c r="L17" s="22">
        <f>(20-I17)</f>
        <v>18.888888888888889</v>
      </c>
      <c r="M17" s="1">
        <f>20-(SUM(J17:J21)+H17)</f>
        <v>18.256139443762194</v>
      </c>
      <c r="N17" s="1">
        <f>20-SUM(J17:J21)</f>
        <v>18.511893919465521</v>
      </c>
      <c r="P17" t="s">
        <v>52</v>
      </c>
      <c r="R17" t="s">
        <v>53</v>
      </c>
    </row>
    <row r="18" spans="1:19" x14ac:dyDescent="0.25">
      <c r="A18" s="15">
        <v>8</v>
      </c>
      <c r="B18" s="15">
        <v>70</v>
      </c>
      <c r="C18" s="15">
        <v>78</v>
      </c>
      <c r="D18" s="15">
        <v>91</v>
      </c>
      <c r="E18" s="15">
        <f t="shared" ref="E18:E21" si="13">AVERAGE(B18:D18)</f>
        <v>79.666666666666671</v>
      </c>
      <c r="F18" s="16">
        <f>E18/0.3</f>
        <v>265.5555555555556</v>
      </c>
      <c r="G18" s="15">
        <v>0</v>
      </c>
      <c r="H18" s="15">
        <f t="shared" ref="H18:H21" si="14">800/3128</f>
        <v>0.25575447570332482</v>
      </c>
      <c r="I18" s="17">
        <f t="shared" ref="I18:I21" si="15">400/F18</f>
        <v>1.5062761506276148</v>
      </c>
      <c r="J18" s="17">
        <f t="shared" ref="J18:J21" si="16">I18/5</f>
        <v>0.30125523012552297</v>
      </c>
      <c r="K18" s="22">
        <f t="shared" ref="K18:K21" si="17">20 - (H18+I18)</f>
        <v>18.23796937366906</v>
      </c>
      <c r="L18" s="22">
        <f t="shared" ref="L18:L21" si="18">(20-I18)</f>
        <v>18.493723849372387</v>
      </c>
      <c r="P18">
        <v>50</v>
      </c>
      <c r="Q18">
        <f>P18*6.8</f>
        <v>340</v>
      </c>
      <c r="R18">
        <f>Q18*10</f>
        <v>3400</v>
      </c>
    </row>
    <row r="19" spans="1:19" x14ac:dyDescent="0.25">
      <c r="A19" s="15">
        <v>9</v>
      </c>
      <c r="B19" s="15">
        <v>71</v>
      </c>
      <c r="C19" s="15">
        <v>105</v>
      </c>
      <c r="D19" s="15">
        <v>70</v>
      </c>
      <c r="E19" s="15">
        <f>AVERAGE(B19:D19)</f>
        <v>82</v>
      </c>
      <c r="F19" s="16">
        <f>E19/0.3</f>
        <v>273.33333333333337</v>
      </c>
      <c r="G19" s="15">
        <v>0</v>
      </c>
      <c r="H19" s="15">
        <f t="shared" si="14"/>
        <v>0.25575447570332482</v>
      </c>
      <c r="I19" s="17">
        <f t="shared" si="15"/>
        <v>1.4634146341463412</v>
      </c>
      <c r="J19" s="17">
        <f t="shared" si="16"/>
        <v>0.29268292682926822</v>
      </c>
      <c r="K19" s="22">
        <f t="shared" si="17"/>
        <v>18.280830890150334</v>
      </c>
      <c r="L19" s="22">
        <f t="shared" si="18"/>
        <v>18.536585365853657</v>
      </c>
      <c r="P19">
        <v>37</v>
      </c>
      <c r="Q19">
        <f t="shared" ref="Q19:Q20" si="19">P19*6.8</f>
        <v>251.6</v>
      </c>
      <c r="R19">
        <f t="shared" ref="R19:R20" si="20">Q19*10</f>
        <v>2516</v>
      </c>
    </row>
    <row r="20" spans="1:19" x14ac:dyDescent="0.25">
      <c r="A20" s="15">
        <v>10</v>
      </c>
      <c r="B20" s="23">
        <v>61</v>
      </c>
      <c r="C20" s="15">
        <v>102</v>
      </c>
      <c r="D20" s="15">
        <v>58</v>
      </c>
      <c r="E20" s="15">
        <f t="shared" si="13"/>
        <v>73.666666666666671</v>
      </c>
      <c r="F20" s="16">
        <f>E20/0.3</f>
        <v>245.55555555555557</v>
      </c>
      <c r="G20" s="15">
        <v>0</v>
      </c>
      <c r="H20" s="15">
        <f t="shared" si="14"/>
        <v>0.25575447570332482</v>
      </c>
      <c r="I20" s="17">
        <f t="shared" si="15"/>
        <v>1.6289592760180995</v>
      </c>
      <c r="J20" s="17">
        <f t="shared" si="16"/>
        <v>0.32579185520361992</v>
      </c>
      <c r="K20" s="22">
        <f t="shared" si="17"/>
        <v>18.115286248278576</v>
      </c>
      <c r="L20" s="22">
        <f t="shared" si="18"/>
        <v>18.371040723981899</v>
      </c>
      <c r="P20">
        <v>51</v>
      </c>
      <c r="Q20">
        <f t="shared" si="19"/>
        <v>346.8</v>
      </c>
      <c r="R20">
        <f t="shared" si="20"/>
        <v>3468</v>
      </c>
    </row>
    <row r="21" spans="1:19" x14ac:dyDescent="0.25">
      <c r="A21" s="15">
        <v>15</v>
      </c>
      <c r="B21" s="15">
        <v>62</v>
      </c>
      <c r="C21" s="15">
        <v>86</v>
      </c>
      <c r="D21" s="15">
        <v>60</v>
      </c>
      <c r="E21" s="15">
        <f t="shared" si="13"/>
        <v>69.333333333333329</v>
      </c>
      <c r="F21" s="16">
        <f>E21/0.3</f>
        <v>231.11111111111111</v>
      </c>
      <c r="G21" s="15">
        <v>0</v>
      </c>
      <c r="H21" s="15">
        <f t="shared" si="14"/>
        <v>0.25575447570332482</v>
      </c>
      <c r="I21" s="17">
        <f t="shared" si="15"/>
        <v>1.7307692307692308</v>
      </c>
      <c r="J21" s="17">
        <f t="shared" si="16"/>
        <v>0.34615384615384615</v>
      </c>
      <c r="K21" s="22">
        <f t="shared" si="17"/>
        <v>18.013476293527443</v>
      </c>
      <c r="L21" s="22">
        <f t="shared" si="18"/>
        <v>18.26923076923077</v>
      </c>
      <c r="R21">
        <f>AVERAGE(R18:R20)</f>
        <v>3128</v>
      </c>
      <c r="S21" t="s">
        <v>54</v>
      </c>
    </row>
    <row r="23" spans="1:19" x14ac:dyDescent="0.25">
      <c r="A23" s="5">
        <v>4</v>
      </c>
      <c r="B23" s="5">
        <v>42</v>
      </c>
      <c r="C23" s="5">
        <v>47</v>
      </c>
      <c r="D23" s="5">
        <v>54</v>
      </c>
      <c r="E23" s="6"/>
      <c r="F23" s="6">
        <f>E23/0.3</f>
        <v>0</v>
      </c>
      <c r="G23" s="5">
        <v>0.05</v>
      </c>
      <c r="H23" s="5"/>
      <c r="I23" s="7" t="e">
        <f>800/F23</f>
        <v>#DIV/0!</v>
      </c>
    </row>
  </sheetData>
  <sortState xmlns:xlrd2="http://schemas.microsoft.com/office/spreadsheetml/2017/richdata2" ref="A3:G20">
    <sortCondition ref="G3:G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E94E-A509-4FCA-917B-BCBB001FC33F}">
  <dimension ref="A1:D6"/>
  <sheetViews>
    <sheetView zoomScale="189" workbookViewId="0">
      <selection activeCell="D4" sqref="D4"/>
    </sheetView>
  </sheetViews>
  <sheetFormatPr defaultRowHeight="15.75" x14ac:dyDescent="0.25"/>
  <cols>
    <col min="3" max="3" width="10.875" bestFit="1" customWidth="1"/>
    <col min="4" max="4" width="6.75" customWidth="1"/>
  </cols>
  <sheetData>
    <row r="1" spans="1:4" x14ac:dyDescent="0.25">
      <c r="A1" s="24" t="s">
        <v>55</v>
      </c>
      <c r="B1" t="s">
        <v>56</v>
      </c>
      <c r="C1" t="s">
        <v>57</v>
      </c>
      <c r="D1" s="24" t="s">
        <v>58</v>
      </c>
    </row>
    <row r="2" spans="1:4" x14ac:dyDescent="0.25">
      <c r="A2" s="24">
        <v>7</v>
      </c>
      <c r="B2">
        <v>1</v>
      </c>
      <c r="C2" s="1">
        <v>1.1111111111111112</v>
      </c>
      <c r="D2" s="25">
        <f>C2/2*100</f>
        <v>55.555555555555557</v>
      </c>
    </row>
    <row r="3" spans="1:4" x14ac:dyDescent="0.25">
      <c r="A3" s="24">
        <v>8</v>
      </c>
      <c r="B3">
        <v>2</v>
      </c>
      <c r="C3" s="1">
        <v>1.5062761506276148</v>
      </c>
      <c r="D3" s="25">
        <f t="shared" ref="D3:D6" si="0">C3/2*100</f>
        <v>75.313807531380732</v>
      </c>
    </row>
    <row r="4" spans="1:4" x14ac:dyDescent="0.25">
      <c r="A4" s="24">
        <v>9</v>
      </c>
      <c r="B4">
        <v>3</v>
      </c>
      <c r="C4" s="1">
        <v>1.4634146341463412</v>
      </c>
      <c r="D4" s="25">
        <f t="shared" si="0"/>
        <v>73.17073170731706</v>
      </c>
    </row>
    <row r="5" spans="1:4" x14ac:dyDescent="0.25">
      <c r="A5" s="24">
        <v>10</v>
      </c>
      <c r="B5">
        <v>4</v>
      </c>
      <c r="C5" s="1">
        <v>1.6289592760180995</v>
      </c>
      <c r="D5" s="25">
        <f t="shared" si="0"/>
        <v>81.447963800904972</v>
      </c>
    </row>
    <row r="6" spans="1:4" x14ac:dyDescent="0.25">
      <c r="A6" s="24">
        <v>15</v>
      </c>
      <c r="B6">
        <v>5</v>
      </c>
      <c r="C6" s="1">
        <v>1.7307692307692308</v>
      </c>
      <c r="D6" s="25">
        <f t="shared" si="0"/>
        <v>86.538461538461547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4EE5-7D0D-7141-8599-9DFCAA6E1680}">
  <dimension ref="A1:O99"/>
  <sheetViews>
    <sheetView topLeftCell="A36" workbookViewId="0">
      <selection activeCell="J49" sqref="J49"/>
    </sheetView>
  </sheetViews>
  <sheetFormatPr defaultColWidth="11" defaultRowHeight="15.75" x14ac:dyDescent="0.25"/>
  <sheetData>
    <row r="1" spans="1:15" ht="31.5" x14ac:dyDescent="0.25">
      <c r="A1" t="s">
        <v>14</v>
      </c>
      <c r="B1" t="s">
        <v>15</v>
      </c>
      <c r="C1" t="s">
        <v>0</v>
      </c>
      <c r="D1" s="18" t="s">
        <v>23</v>
      </c>
      <c r="E1" t="s">
        <v>25</v>
      </c>
      <c r="F1" t="s">
        <v>8</v>
      </c>
      <c r="G1" s="18" t="s">
        <v>26</v>
      </c>
      <c r="H1" t="s">
        <v>7</v>
      </c>
      <c r="I1" s="18" t="s">
        <v>27</v>
      </c>
      <c r="L1" s="18"/>
      <c r="M1" s="18"/>
      <c r="N1" s="18"/>
      <c r="O1" s="18"/>
    </row>
    <row r="2" spans="1:15" x14ac:dyDescent="0.25">
      <c r="A2">
        <v>0</v>
      </c>
      <c r="B2" t="s">
        <v>16</v>
      </c>
      <c r="C2" t="s">
        <v>18</v>
      </c>
      <c r="D2" t="b">
        <v>1</v>
      </c>
      <c r="E2">
        <v>1</v>
      </c>
      <c r="F2">
        <v>0</v>
      </c>
      <c r="G2" t="s">
        <v>28</v>
      </c>
      <c r="H2">
        <v>7</v>
      </c>
      <c r="I2" t="s">
        <v>28</v>
      </c>
    </row>
    <row r="3" spans="1:15" x14ac:dyDescent="0.25">
      <c r="A3">
        <v>0</v>
      </c>
      <c r="B3" t="s">
        <v>16</v>
      </c>
      <c r="C3" t="s">
        <v>18</v>
      </c>
      <c r="D3" t="b">
        <v>1</v>
      </c>
      <c r="E3">
        <v>2</v>
      </c>
      <c r="F3">
        <v>2</v>
      </c>
      <c r="G3" t="s">
        <v>28</v>
      </c>
      <c r="H3">
        <v>9</v>
      </c>
      <c r="I3" t="s">
        <v>28</v>
      </c>
    </row>
    <row r="4" spans="1:15" x14ac:dyDescent="0.25">
      <c r="A4">
        <v>0</v>
      </c>
      <c r="B4" t="s">
        <v>16</v>
      </c>
      <c r="C4" t="s">
        <v>18</v>
      </c>
      <c r="D4" t="b">
        <v>1</v>
      </c>
      <c r="E4">
        <v>3</v>
      </c>
      <c r="F4">
        <v>0</v>
      </c>
      <c r="G4" t="s">
        <v>28</v>
      </c>
      <c r="H4">
        <v>8</v>
      </c>
      <c r="I4" t="s">
        <v>28</v>
      </c>
    </row>
    <row r="5" spans="1:15" x14ac:dyDescent="0.25">
      <c r="A5">
        <v>0</v>
      </c>
      <c r="B5" t="s">
        <v>16</v>
      </c>
      <c r="C5" t="s">
        <v>18</v>
      </c>
      <c r="D5" t="b">
        <v>0</v>
      </c>
      <c r="E5">
        <v>4</v>
      </c>
      <c r="F5">
        <v>0</v>
      </c>
      <c r="G5" t="s">
        <v>28</v>
      </c>
      <c r="I5" t="s">
        <v>28</v>
      </c>
    </row>
    <row r="6" spans="1:15" x14ac:dyDescent="0.25">
      <c r="A6">
        <v>0</v>
      </c>
      <c r="B6" t="s">
        <v>16</v>
      </c>
      <c r="C6" t="s">
        <v>18</v>
      </c>
      <c r="D6" t="b">
        <v>0</v>
      </c>
      <c r="E6">
        <v>5</v>
      </c>
      <c r="F6">
        <v>0</v>
      </c>
      <c r="G6" t="s">
        <v>28</v>
      </c>
      <c r="I6" t="s">
        <v>28</v>
      </c>
    </row>
    <row r="7" spans="1:15" x14ac:dyDescent="0.25">
      <c r="A7">
        <v>0</v>
      </c>
      <c r="B7" t="s">
        <v>16</v>
      </c>
      <c r="C7" t="s">
        <v>18</v>
      </c>
      <c r="D7" t="b">
        <v>0</v>
      </c>
      <c r="E7">
        <v>6</v>
      </c>
      <c r="F7">
        <v>0</v>
      </c>
      <c r="G7" t="s">
        <v>28</v>
      </c>
      <c r="I7" t="s">
        <v>28</v>
      </c>
    </row>
    <row r="8" spans="1:15" x14ac:dyDescent="0.25">
      <c r="A8">
        <v>0</v>
      </c>
      <c r="B8" t="s">
        <v>16</v>
      </c>
      <c r="C8" t="s">
        <v>19</v>
      </c>
      <c r="D8" t="b">
        <v>1</v>
      </c>
      <c r="E8">
        <v>1</v>
      </c>
      <c r="F8">
        <v>1</v>
      </c>
      <c r="G8" t="s">
        <v>28</v>
      </c>
      <c r="H8">
        <v>66</v>
      </c>
      <c r="I8" t="s">
        <v>28</v>
      </c>
    </row>
    <row r="9" spans="1:15" x14ac:dyDescent="0.25">
      <c r="A9">
        <v>0</v>
      </c>
      <c r="B9" t="s">
        <v>16</v>
      </c>
      <c r="C9" t="s">
        <v>19</v>
      </c>
      <c r="D9" t="b">
        <v>1</v>
      </c>
      <c r="E9">
        <v>2</v>
      </c>
      <c r="F9">
        <v>0</v>
      </c>
      <c r="G9" t="s">
        <v>28</v>
      </c>
      <c r="H9">
        <v>86</v>
      </c>
      <c r="I9" t="s">
        <v>28</v>
      </c>
    </row>
    <row r="10" spans="1:15" x14ac:dyDescent="0.25">
      <c r="A10">
        <v>0</v>
      </c>
      <c r="B10" t="s">
        <v>16</v>
      </c>
      <c r="C10" t="s">
        <v>19</v>
      </c>
      <c r="D10" t="b">
        <v>1</v>
      </c>
      <c r="E10">
        <v>3</v>
      </c>
      <c r="F10">
        <v>0</v>
      </c>
      <c r="G10" t="s">
        <v>28</v>
      </c>
      <c r="H10">
        <v>28</v>
      </c>
      <c r="I10" t="s">
        <v>28</v>
      </c>
    </row>
    <row r="11" spans="1:15" x14ac:dyDescent="0.25">
      <c r="A11">
        <v>0</v>
      </c>
      <c r="B11" t="s">
        <v>16</v>
      </c>
      <c r="C11" t="s">
        <v>19</v>
      </c>
      <c r="D11" t="b">
        <v>0</v>
      </c>
      <c r="E11">
        <v>4</v>
      </c>
      <c r="F11">
        <v>0</v>
      </c>
      <c r="G11" t="s">
        <v>28</v>
      </c>
      <c r="I11" t="s">
        <v>28</v>
      </c>
    </row>
    <row r="12" spans="1:15" x14ac:dyDescent="0.25">
      <c r="A12">
        <v>0</v>
      </c>
      <c r="B12" t="s">
        <v>16</v>
      </c>
      <c r="C12" t="s">
        <v>19</v>
      </c>
      <c r="D12" t="b">
        <v>0</v>
      </c>
      <c r="E12">
        <v>5</v>
      </c>
      <c r="F12">
        <v>1</v>
      </c>
      <c r="G12" t="s">
        <v>28</v>
      </c>
      <c r="I12" t="s">
        <v>28</v>
      </c>
    </row>
    <row r="13" spans="1:15" x14ac:dyDescent="0.25">
      <c r="A13">
        <v>0</v>
      </c>
      <c r="B13" t="s">
        <v>16</v>
      </c>
      <c r="C13" t="s">
        <v>19</v>
      </c>
      <c r="D13" t="b">
        <v>0</v>
      </c>
      <c r="E13">
        <v>6</v>
      </c>
      <c r="F13">
        <v>0</v>
      </c>
      <c r="G13" t="s">
        <v>28</v>
      </c>
      <c r="I13" t="s">
        <v>28</v>
      </c>
    </row>
    <row r="14" spans="1:15" x14ac:dyDescent="0.25">
      <c r="A14">
        <v>0</v>
      </c>
      <c r="B14" t="s">
        <v>16</v>
      </c>
      <c r="C14" t="s">
        <v>20</v>
      </c>
      <c r="D14" t="b">
        <v>1</v>
      </c>
      <c r="E14">
        <v>1</v>
      </c>
      <c r="F14">
        <v>0</v>
      </c>
      <c r="G14" t="s">
        <v>28</v>
      </c>
      <c r="H14">
        <v>42</v>
      </c>
      <c r="I14" t="s">
        <v>28</v>
      </c>
    </row>
    <row r="15" spans="1:15" x14ac:dyDescent="0.25">
      <c r="A15">
        <v>0</v>
      </c>
      <c r="B15" t="s">
        <v>16</v>
      </c>
      <c r="C15" t="s">
        <v>20</v>
      </c>
      <c r="D15" t="b">
        <v>1</v>
      </c>
      <c r="E15">
        <v>2</v>
      </c>
      <c r="F15">
        <v>0</v>
      </c>
      <c r="G15" t="s">
        <v>28</v>
      </c>
      <c r="H15">
        <v>52</v>
      </c>
      <c r="I15" t="s">
        <v>28</v>
      </c>
    </row>
    <row r="16" spans="1:15" x14ac:dyDescent="0.25">
      <c r="A16">
        <v>0</v>
      </c>
      <c r="B16" t="s">
        <v>16</v>
      </c>
      <c r="C16" t="s">
        <v>20</v>
      </c>
      <c r="D16" t="b">
        <v>1</v>
      </c>
      <c r="E16">
        <v>3</v>
      </c>
      <c r="F16">
        <v>1</v>
      </c>
      <c r="G16" t="s">
        <v>28</v>
      </c>
      <c r="H16">
        <v>100</v>
      </c>
      <c r="I16" t="s">
        <v>28</v>
      </c>
    </row>
    <row r="17" spans="1:9" x14ac:dyDescent="0.25">
      <c r="A17">
        <v>0</v>
      </c>
      <c r="B17" t="s">
        <v>16</v>
      </c>
      <c r="C17" t="s">
        <v>20</v>
      </c>
      <c r="D17" t="b">
        <v>0</v>
      </c>
      <c r="E17">
        <v>4</v>
      </c>
      <c r="F17">
        <v>0</v>
      </c>
      <c r="G17" t="s">
        <v>28</v>
      </c>
      <c r="I17" t="s">
        <v>28</v>
      </c>
    </row>
    <row r="18" spans="1:9" x14ac:dyDescent="0.25">
      <c r="A18">
        <v>0</v>
      </c>
      <c r="B18" t="s">
        <v>16</v>
      </c>
      <c r="C18" t="s">
        <v>20</v>
      </c>
      <c r="D18" t="b">
        <v>0</v>
      </c>
      <c r="E18">
        <v>5</v>
      </c>
      <c r="F18">
        <v>3</v>
      </c>
      <c r="G18" t="s">
        <v>28</v>
      </c>
      <c r="I18" t="s">
        <v>28</v>
      </c>
    </row>
    <row r="19" spans="1:9" x14ac:dyDescent="0.25">
      <c r="A19">
        <v>0</v>
      </c>
      <c r="B19" t="s">
        <v>16</v>
      </c>
      <c r="C19" t="s">
        <v>20</v>
      </c>
      <c r="D19" t="b">
        <v>0</v>
      </c>
      <c r="E19">
        <v>6</v>
      </c>
      <c r="F19">
        <v>0</v>
      </c>
      <c r="G19" t="s">
        <v>28</v>
      </c>
      <c r="I19" t="s">
        <v>28</v>
      </c>
    </row>
    <row r="20" spans="1:9" x14ac:dyDescent="0.25">
      <c r="A20">
        <v>0</v>
      </c>
      <c r="B20" t="s">
        <v>16</v>
      </c>
      <c r="C20" t="s">
        <v>21</v>
      </c>
      <c r="D20" t="b">
        <v>1</v>
      </c>
      <c r="E20">
        <v>1</v>
      </c>
      <c r="F20">
        <v>3</v>
      </c>
      <c r="G20" t="s">
        <v>28</v>
      </c>
      <c r="H20">
        <v>52</v>
      </c>
      <c r="I20" t="s">
        <v>28</v>
      </c>
    </row>
    <row r="21" spans="1:9" x14ac:dyDescent="0.25">
      <c r="A21">
        <v>0</v>
      </c>
      <c r="B21" t="s">
        <v>16</v>
      </c>
      <c r="C21" t="s">
        <v>21</v>
      </c>
      <c r="D21" t="b">
        <v>1</v>
      </c>
      <c r="E21">
        <v>2</v>
      </c>
      <c r="F21">
        <v>2</v>
      </c>
      <c r="G21" t="s">
        <v>28</v>
      </c>
      <c r="H21">
        <v>74</v>
      </c>
      <c r="I21" t="s">
        <v>28</v>
      </c>
    </row>
    <row r="22" spans="1:9" x14ac:dyDescent="0.25">
      <c r="A22">
        <v>0</v>
      </c>
      <c r="B22" t="s">
        <v>16</v>
      </c>
      <c r="C22" t="s">
        <v>21</v>
      </c>
      <c r="D22" t="b">
        <v>1</v>
      </c>
      <c r="E22">
        <v>3</v>
      </c>
      <c r="F22">
        <v>8</v>
      </c>
      <c r="G22" t="s">
        <v>28</v>
      </c>
      <c r="H22">
        <v>47</v>
      </c>
      <c r="I22" t="s">
        <v>28</v>
      </c>
    </row>
    <row r="23" spans="1:9" x14ac:dyDescent="0.25">
      <c r="A23">
        <v>0</v>
      </c>
      <c r="B23" t="s">
        <v>16</v>
      </c>
      <c r="C23" t="s">
        <v>21</v>
      </c>
      <c r="D23" t="b">
        <v>0</v>
      </c>
      <c r="E23">
        <v>4</v>
      </c>
      <c r="F23">
        <v>0</v>
      </c>
      <c r="G23" t="s">
        <v>28</v>
      </c>
      <c r="H23">
        <v>34</v>
      </c>
      <c r="I23" t="s">
        <v>28</v>
      </c>
    </row>
    <row r="24" spans="1:9" x14ac:dyDescent="0.25">
      <c r="A24">
        <v>0</v>
      </c>
      <c r="B24" t="s">
        <v>16</v>
      </c>
      <c r="C24" t="s">
        <v>21</v>
      </c>
      <c r="D24" t="b">
        <v>0</v>
      </c>
      <c r="E24">
        <v>5</v>
      </c>
      <c r="F24">
        <v>0</v>
      </c>
      <c r="G24" t="s">
        <v>28</v>
      </c>
      <c r="I24" t="s">
        <v>28</v>
      </c>
    </row>
    <row r="25" spans="1:9" x14ac:dyDescent="0.25">
      <c r="A25">
        <v>0</v>
      </c>
      <c r="B25" t="s">
        <v>16</v>
      </c>
      <c r="C25" t="s">
        <v>21</v>
      </c>
      <c r="D25" t="b">
        <v>0</v>
      </c>
      <c r="E25">
        <v>6</v>
      </c>
      <c r="F25">
        <v>2</v>
      </c>
      <c r="G25" t="s">
        <v>28</v>
      </c>
      <c r="I25" t="s">
        <v>28</v>
      </c>
    </row>
    <row r="26" spans="1:9" x14ac:dyDescent="0.25">
      <c r="A26">
        <v>0</v>
      </c>
      <c r="B26" t="s">
        <v>16</v>
      </c>
      <c r="C26" t="s">
        <v>22</v>
      </c>
      <c r="D26" t="b">
        <v>1</v>
      </c>
      <c r="E26">
        <v>1</v>
      </c>
      <c r="F26">
        <v>0</v>
      </c>
      <c r="G26" t="s">
        <v>28</v>
      </c>
      <c r="H26">
        <v>71</v>
      </c>
      <c r="I26" t="s">
        <v>28</v>
      </c>
    </row>
    <row r="27" spans="1:9" x14ac:dyDescent="0.25">
      <c r="A27">
        <v>0</v>
      </c>
      <c r="B27" t="s">
        <v>16</v>
      </c>
      <c r="C27" t="s">
        <v>22</v>
      </c>
      <c r="D27" t="b">
        <v>1</v>
      </c>
      <c r="E27">
        <v>2</v>
      </c>
      <c r="F27">
        <v>1</v>
      </c>
      <c r="G27" t="s">
        <v>28</v>
      </c>
      <c r="H27">
        <v>45</v>
      </c>
      <c r="I27" t="s">
        <v>28</v>
      </c>
    </row>
    <row r="28" spans="1:9" x14ac:dyDescent="0.25">
      <c r="A28">
        <v>0</v>
      </c>
      <c r="B28" t="s">
        <v>16</v>
      </c>
      <c r="C28" t="s">
        <v>22</v>
      </c>
      <c r="D28" t="b">
        <v>1</v>
      </c>
      <c r="E28">
        <v>3</v>
      </c>
      <c r="F28">
        <v>0</v>
      </c>
      <c r="G28" t="s">
        <v>28</v>
      </c>
      <c r="H28">
        <v>37</v>
      </c>
      <c r="I28" t="s">
        <v>28</v>
      </c>
    </row>
    <row r="29" spans="1:9" x14ac:dyDescent="0.25">
      <c r="A29">
        <v>0</v>
      </c>
      <c r="B29" t="s">
        <v>16</v>
      </c>
      <c r="C29" t="s">
        <v>22</v>
      </c>
      <c r="D29" t="b">
        <v>0</v>
      </c>
      <c r="E29">
        <v>4</v>
      </c>
      <c r="F29">
        <v>1</v>
      </c>
      <c r="G29" t="s">
        <v>28</v>
      </c>
      <c r="I29" t="s">
        <v>28</v>
      </c>
    </row>
    <row r="30" spans="1:9" x14ac:dyDescent="0.25">
      <c r="A30">
        <v>0</v>
      </c>
      <c r="B30" t="s">
        <v>16</v>
      </c>
      <c r="C30" t="s">
        <v>22</v>
      </c>
      <c r="D30" t="b">
        <v>0</v>
      </c>
      <c r="E30">
        <v>5</v>
      </c>
      <c r="F30">
        <v>0</v>
      </c>
      <c r="G30" t="s">
        <v>28</v>
      </c>
      <c r="I30" t="s">
        <v>28</v>
      </c>
    </row>
    <row r="31" spans="1:9" x14ac:dyDescent="0.25">
      <c r="A31">
        <v>0</v>
      </c>
      <c r="B31" t="s">
        <v>16</v>
      </c>
      <c r="C31" t="s">
        <v>22</v>
      </c>
      <c r="D31" t="b">
        <v>0</v>
      </c>
      <c r="E31">
        <v>6</v>
      </c>
      <c r="F31">
        <v>0</v>
      </c>
      <c r="G31" t="s">
        <v>28</v>
      </c>
      <c r="I31" t="s">
        <v>28</v>
      </c>
    </row>
    <row r="32" spans="1:9" x14ac:dyDescent="0.25">
      <c r="A32">
        <v>0</v>
      </c>
      <c r="B32" t="s">
        <v>17</v>
      </c>
      <c r="C32" t="s">
        <v>24</v>
      </c>
      <c r="D32" t="b">
        <v>1</v>
      </c>
      <c r="E32">
        <v>1</v>
      </c>
      <c r="F32">
        <v>0</v>
      </c>
      <c r="G32" t="s">
        <v>28</v>
      </c>
      <c r="H32">
        <v>151</v>
      </c>
      <c r="I32" t="s">
        <v>28</v>
      </c>
    </row>
    <row r="33" spans="1:10" x14ac:dyDescent="0.25">
      <c r="A33">
        <v>0</v>
      </c>
      <c r="B33" t="s">
        <v>17</v>
      </c>
      <c r="C33" t="s">
        <v>24</v>
      </c>
      <c r="D33" t="b">
        <v>1</v>
      </c>
      <c r="E33">
        <v>2</v>
      </c>
      <c r="F33">
        <v>4</v>
      </c>
      <c r="G33" t="s">
        <v>28</v>
      </c>
      <c r="H33">
        <v>94</v>
      </c>
      <c r="I33" t="s">
        <v>28</v>
      </c>
    </row>
    <row r="34" spans="1:10" x14ac:dyDescent="0.25">
      <c r="A34">
        <v>0</v>
      </c>
      <c r="B34" t="s">
        <v>17</v>
      </c>
      <c r="C34" t="s">
        <v>24</v>
      </c>
      <c r="D34" t="b">
        <v>1</v>
      </c>
      <c r="E34">
        <v>3</v>
      </c>
      <c r="F34">
        <v>0</v>
      </c>
      <c r="G34" t="s">
        <v>28</v>
      </c>
      <c r="H34">
        <v>165</v>
      </c>
      <c r="I34" t="s">
        <v>28</v>
      </c>
    </row>
    <row r="35" spans="1:10" x14ac:dyDescent="0.25">
      <c r="A35">
        <v>0</v>
      </c>
      <c r="B35" t="s">
        <v>17</v>
      </c>
      <c r="C35" t="s">
        <v>24</v>
      </c>
      <c r="D35" t="b">
        <v>0</v>
      </c>
      <c r="E35">
        <v>4</v>
      </c>
      <c r="F35">
        <v>1</v>
      </c>
      <c r="G35" t="s">
        <v>28</v>
      </c>
      <c r="I35" t="s">
        <v>28</v>
      </c>
    </row>
    <row r="36" spans="1:10" x14ac:dyDescent="0.25">
      <c r="A36">
        <v>0</v>
      </c>
      <c r="B36" t="s">
        <v>17</v>
      </c>
      <c r="C36" t="s">
        <v>24</v>
      </c>
      <c r="D36" t="b">
        <v>0</v>
      </c>
      <c r="E36">
        <v>5</v>
      </c>
      <c r="F36">
        <v>0</v>
      </c>
      <c r="G36" t="s">
        <v>28</v>
      </c>
      <c r="I36" t="s">
        <v>28</v>
      </c>
    </row>
    <row r="37" spans="1:10" x14ac:dyDescent="0.25">
      <c r="A37">
        <v>0</v>
      </c>
      <c r="B37" t="s">
        <v>17</v>
      </c>
      <c r="C37" t="s">
        <v>24</v>
      </c>
      <c r="D37" t="b">
        <v>0</v>
      </c>
      <c r="E37">
        <v>6</v>
      </c>
      <c r="F37">
        <v>0</v>
      </c>
      <c r="G37" t="s">
        <v>28</v>
      </c>
      <c r="I37" t="s">
        <v>28</v>
      </c>
    </row>
    <row r="38" spans="1:10" x14ac:dyDescent="0.25">
      <c r="A38">
        <v>1</v>
      </c>
      <c r="B38" t="s">
        <v>16</v>
      </c>
      <c r="C38" t="s">
        <v>18</v>
      </c>
      <c r="D38" t="b">
        <v>1</v>
      </c>
      <c r="E38">
        <v>1</v>
      </c>
      <c r="F38">
        <v>1</v>
      </c>
      <c r="G38" t="s">
        <v>28</v>
      </c>
      <c r="H38">
        <v>39</v>
      </c>
      <c r="I38" t="s">
        <v>29</v>
      </c>
    </row>
    <row r="39" spans="1:10" x14ac:dyDescent="0.25">
      <c r="A39">
        <v>1</v>
      </c>
      <c r="B39" t="s">
        <v>16</v>
      </c>
      <c r="C39" t="s">
        <v>18</v>
      </c>
      <c r="D39" t="b">
        <v>1</v>
      </c>
      <c r="E39">
        <v>2</v>
      </c>
      <c r="F39">
        <v>2</v>
      </c>
      <c r="G39" t="s">
        <v>28</v>
      </c>
      <c r="H39">
        <v>40</v>
      </c>
      <c r="I39" t="s">
        <v>29</v>
      </c>
    </row>
    <row r="40" spans="1:10" x14ac:dyDescent="0.25">
      <c r="A40">
        <v>1</v>
      </c>
      <c r="B40" t="s">
        <v>16</v>
      </c>
      <c r="C40" t="s">
        <v>18</v>
      </c>
      <c r="D40" t="b">
        <v>1</v>
      </c>
      <c r="E40">
        <v>3</v>
      </c>
      <c r="F40">
        <v>0</v>
      </c>
      <c r="G40" t="s">
        <v>28</v>
      </c>
      <c r="H40">
        <v>14</v>
      </c>
      <c r="I40" t="s">
        <v>29</v>
      </c>
    </row>
    <row r="41" spans="1:10" x14ac:dyDescent="0.25">
      <c r="A41">
        <v>1</v>
      </c>
      <c r="B41" t="s">
        <v>16</v>
      </c>
      <c r="C41" t="s">
        <v>18</v>
      </c>
      <c r="D41" t="b">
        <v>0</v>
      </c>
      <c r="E41">
        <v>4</v>
      </c>
      <c r="F41">
        <v>1</v>
      </c>
      <c r="G41" t="s">
        <v>28</v>
      </c>
      <c r="I41" t="s">
        <v>29</v>
      </c>
    </row>
    <row r="42" spans="1:10" x14ac:dyDescent="0.25">
      <c r="A42">
        <v>1</v>
      </c>
      <c r="B42" t="s">
        <v>16</v>
      </c>
      <c r="C42" t="s">
        <v>18</v>
      </c>
      <c r="D42" t="b">
        <v>0</v>
      </c>
      <c r="E42">
        <v>5</v>
      </c>
      <c r="F42">
        <v>2</v>
      </c>
      <c r="G42" t="s">
        <v>28</v>
      </c>
      <c r="I42" t="s">
        <v>29</v>
      </c>
    </row>
    <row r="43" spans="1:10" x14ac:dyDescent="0.25">
      <c r="A43">
        <v>1</v>
      </c>
      <c r="B43" t="s">
        <v>16</v>
      </c>
      <c r="C43" t="s">
        <v>18</v>
      </c>
      <c r="D43" t="b">
        <v>0</v>
      </c>
      <c r="E43">
        <v>6</v>
      </c>
      <c r="F43">
        <v>1</v>
      </c>
      <c r="G43" t="s">
        <v>28</v>
      </c>
      <c r="I43" t="s">
        <v>29</v>
      </c>
    </row>
    <row r="44" spans="1:10" x14ac:dyDescent="0.25">
      <c r="A44">
        <v>1</v>
      </c>
      <c r="B44" t="s">
        <v>16</v>
      </c>
      <c r="C44" t="s">
        <v>19</v>
      </c>
      <c r="D44" t="b">
        <v>1</v>
      </c>
      <c r="E44">
        <v>1</v>
      </c>
      <c r="F44">
        <v>1</v>
      </c>
      <c r="G44" t="s">
        <v>28</v>
      </c>
      <c r="H44">
        <v>31</v>
      </c>
      <c r="I44" t="s">
        <v>29</v>
      </c>
    </row>
    <row r="45" spans="1:10" x14ac:dyDescent="0.25">
      <c r="A45">
        <v>1</v>
      </c>
      <c r="B45" t="s">
        <v>16</v>
      </c>
      <c r="C45" t="s">
        <v>19</v>
      </c>
      <c r="D45" t="b">
        <v>1</v>
      </c>
      <c r="E45">
        <v>2</v>
      </c>
      <c r="F45">
        <v>0</v>
      </c>
      <c r="G45" t="s">
        <v>28</v>
      </c>
      <c r="H45">
        <v>40</v>
      </c>
      <c r="I45" t="s">
        <v>29</v>
      </c>
    </row>
    <row r="46" spans="1:10" x14ac:dyDescent="0.25">
      <c r="A46">
        <v>1</v>
      </c>
      <c r="B46" t="s">
        <v>16</v>
      </c>
      <c r="C46" t="s">
        <v>19</v>
      </c>
      <c r="D46" t="b">
        <v>1</v>
      </c>
      <c r="E46">
        <v>3</v>
      </c>
      <c r="F46">
        <v>1</v>
      </c>
      <c r="G46" t="s">
        <v>28</v>
      </c>
      <c r="H46">
        <v>22</v>
      </c>
      <c r="I46" t="s">
        <v>29</v>
      </c>
    </row>
    <row r="47" spans="1:10" x14ac:dyDescent="0.25">
      <c r="A47">
        <v>1</v>
      </c>
      <c r="B47" t="s">
        <v>16</v>
      </c>
      <c r="C47" t="s">
        <v>19</v>
      </c>
      <c r="D47" t="b">
        <v>0</v>
      </c>
      <c r="E47">
        <v>4</v>
      </c>
      <c r="F47" t="s">
        <v>30</v>
      </c>
      <c r="G47" t="s">
        <v>28</v>
      </c>
      <c r="I47" t="s">
        <v>29</v>
      </c>
    </row>
    <row r="48" spans="1:10" x14ac:dyDescent="0.25">
      <c r="A48">
        <v>1</v>
      </c>
      <c r="B48" t="s">
        <v>16</v>
      </c>
      <c r="C48" t="s">
        <v>19</v>
      </c>
      <c r="D48" t="b">
        <v>0</v>
      </c>
      <c r="E48">
        <v>5</v>
      </c>
      <c r="F48" s="19" t="s">
        <v>31</v>
      </c>
      <c r="G48" t="s">
        <v>28</v>
      </c>
      <c r="I48" t="s">
        <v>29</v>
      </c>
      <c r="J48" t="s">
        <v>34</v>
      </c>
    </row>
    <row r="49" spans="1:10" x14ac:dyDescent="0.25">
      <c r="A49">
        <v>1</v>
      </c>
      <c r="B49" t="s">
        <v>16</v>
      </c>
      <c r="C49" t="s">
        <v>19</v>
      </c>
      <c r="D49" t="b">
        <v>0</v>
      </c>
      <c r="E49">
        <v>6</v>
      </c>
      <c r="F49" s="19" t="s">
        <v>32</v>
      </c>
      <c r="G49" t="s">
        <v>28</v>
      </c>
      <c r="I49" t="s">
        <v>29</v>
      </c>
      <c r="J49" t="s">
        <v>35</v>
      </c>
    </row>
    <row r="50" spans="1:10" x14ac:dyDescent="0.25">
      <c r="A50">
        <v>1</v>
      </c>
      <c r="B50" t="s">
        <v>16</v>
      </c>
      <c r="C50" t="s">
        <v>20</v>
      </c>
      <c r="D50" t="b">
        <v>1</v>
      </c>
      <c r="E50">
        <v>1</v>
      </c>
      <c r="F50">
        <v>1</v>
      </c>
      <c r="G50" t="s">
        <v>28</v>
      </c>
      <c r="H50">
        <v>32</v>
      </c>
      <c r="I50" t="s">
        <v>29</v>
      </c>
    </row>
    <row r="51" spans="1:10" x14ac:dyDescent="0.25">
      <c r="A51">
        <v>1</v>
      </c>
      <c r="B51" t="s">
        <v>16</v>
      </c>
      <c r="C51" t="s">
        <v>20</v>
      </c>
      <c r="D51" t="b">
        <v>1</v>
      </c>
      <c r="E51">
        <v>2</v>
      </c>
      <c r="F51">
        <v>3</v>
      </c>
      <c r="G51" t="s">
        <v>28</v>
      </c>
      <c r="H51">
        <v>19</v>
      </c>
      <c r="I51" t="s">
        <v>29</v>
      </c>
    </row>
    <row r="52" spans="1:10" x14ac:dyDescent="0.25">
      <c r="A52">
        <v>1</v>
      </c>
      <c r="B52" t="s">
        <v>16</v>
      </c>
      <c r="C52" t="s">
        <v>20</v>
      </c>
      <c r="D52" t="b">
        <v>1</v>
      </c>
      <c r="E52">
        <v>3</v>
      </c>
      <c r="F52">
        <v>2</v>
      </c>
      <c r="G52" t="s">
        <v>28</v>
      </c>
      <c r="H52">
        <v>16</v>
      </c>
      <c r="I52" t="s">
        <v>29</v>
      </c>
    </row>
    <row r="53" spans="1:10" x14ac:dyDescent="0.25">
      <c r="A53">
        <v>1</v>
      </c>
      <c r="B53" t="s">
        <v>16</v>
      </c>
      <c r="C53" t="s">
        <v>20</v>
      </c>
      <c r="D53" t="b">
        <v>0</v>
      </c>
      <c r="E53">
        <v>4</v>
      </c>
      <c r="F53">
        <v>6</v>
      </c>
      <c r="G53" t="s">
        <v>28</v>
      </c>
      <c r="I53" t="s">
        <v>29</v>
      </c>
    </row>
    <row r="54" spans="1:10" x14ac:dyDescent="0.25">
      <c r="A54">
        <v>1</v>
      </c>
      <c r="B54" t="s">
        <v>16</v>
      </c>
      <c r="C54" t="s">
        <v>20</v>
      </c>
      <c r="D54" t="b">
        <v>0</v>
      </c>
      <c r="E54">
        <v>5</v>
      </c>
      <c r="F54">
        <v>4</v>
      </c>
      <c r="G54" t="s">
        <v>28</v>
      </c>
      <c r="I54" t="s">
        <v>29</v>
      </c>
    </row>
    <row r="55" spans="1:10" x14ac:dyDescent="0.25">
      <c r="A55">
        <v>1</v>
      </c>
      <c r="B55" t="s">
        <v>16</v>
      </c>
      <c r="C55" t="s">
        <v>20</v>
      </c>
      <c r="D55" t="b">
        <v>0</v>
      </c>
      <c r="E55">
        <v>6</v>
      </c>
      <c r="F55">
        <v>1</v>
      </c>
      <c r="G55" t="s">
        <v>28</v>
      </c>
      <c r="I55" t="s">
        <v>29</v>
      </c>
    </row>
    <row r="56" spans="1:10" x14ac:dyDescent="0.25">
      <c r="A56">
        <v>1</v>
      </c>
      <c r="B56" t="s">
        <v>16</v>
      </c>
      <c r="C56" t="s">
        <v>21</v>
      </c>
      <c r="D56" t="b">
        <v>1</v>
      </c>
      <c r="E56">
        <v>1</v>
      </c>
      <c r="F56">
        <v>2</v>
      </c>
      <c r="G56" t="s">
        <v>28</v>
      </c>
      <c r="H56">
        <v>28</v>
      </c>
      <c r="I56" t="s">
        <v>29</v>
      </c>
    </row>
    <row r="57" spans="1:10" x14ac:dyDescent="0.25">
      <c r="A57">
        <v>1</v>
      </c>
      <c r="B57" t="s">
        <v>16</v>
      </c>
      <c r="C57" t="s">
        <v>21</v>
      </c>
      <c r="D57" t="b">
        <v>1</v>
      </c>
      <c r="E57">
        <v>2</v>
      </c>
      <c r="F57">
        <v>5</v>
      </c>
      <c r="G57" t="s">
        <v>28</v>
      </c>
      <c r="H57">
        <v>17</v>
      </c>
      <c r="I57" t="s">
        <v>29</v>
      </c>
    </row>
    <row r="58" spans="1:10" x14ac:dyDescent="0.25">
      <c r="A58">
        <v>1</v>
      </c>
      <c r="B58" t="s">
        <v>16</v>
      </c>
      <c r="C58" t="s">
        <v>21</v>
      </c>
      <c r="D58" t="b">
        <v>1</v>
      </c>
      <c r="E58">
        <v>3</v>
      </c>
      <c r="F58">
        <v>2</v>
      </c>
      <c r="G58" t="s">
        <v>28</v>
      </c>
      <c r="H58">
        <v>40</v>
      </c>
      <c r="I58" t="s">
        <v>29</v>
      </c>
    </row>
    <row r="59" spans="1:10" x14ac:dyDescent="0.25">
      <c r="A59">
        <v>1</v>
      </c>
      <c r="B59" t="s">
        <v>16</v>
      </c>
      <c r="C59" t="s">
        <v>21</v>
      </c>
      <c r="D59" t="b">
        <v>0</v>
      </c>
      <c r="E59">
        <v>4</v>
      </c>
      <c r="F59">
        <v>2</v>
      </c>
      <c r="G59" t="s">
        <v>28</v>
      </c>
      <c r="I59" t="s">
        <v>29</v>
      </c>
    </row>
    <row r="60" spans="1:10" x14ac:dyDescent="0.25">
      <c r="A60">
        <v>1</v>
      </c>
      <c r="B60" t="s">
        <v>16</v>
      </c>
      <c r="C60" t="s">
        <v>21</v>
      </c>
      <c r="D60" t="b">
        <v>0</v>
      </c>
      <c r="E60">
        <v>5</v>
      </c>
      <c r="F60">
        <v>1</v>
      </c>
      <c r="G60" t="s">
        <v>28</v>
      </c>
      <c r="I60" t="s">
        <v>29</v>
      </c>
    </row>
    <row r="61" spans="1:10" x14ac:dyDescent="0.25">
      <c r="A61">
        <v>1</v>
      </c>
      <c r="B61" t="s">
        <v>16</v>
      </c>
      <c r="C61" t="s">
        <v>21</v>
      </c>
      <c r="D61" t="b">
        <v>0</v>
      </c>
      <c r="E61">
        <v>6</v>
      </c>
      <c r="F61">
        <v>5</v>
      </c>
      <c r="G61" t="s">
        <v>28</v>
      </c>
      <c r="I61" t="s">
        <v>29</v>
      </c>
    </row>
    <row r="62" spans="1:10" x14ac:dyDescent="0.25">
      <c r="A62">
        <v>1</v>
      </c>
      <c r="B62" t="s">
        <v>16</v>
      </c>
      <c r="C62" t="s">
        <v>22</v>
      </c>
      <c r="D62" t="b">
        <v>1</v>
      </c>
      <c r="E62">
        <v>1</v>
      </c>
      <c r="F62">
        <v>0</v>
      </c>
      <c r="G62" t="s">
        <v>28</v>
      </c>
      <c r="H62">
        <v>17</v>
      </c>
      <c r="I62" t="s">
        <v>29</v>
      </c>
    </row>
    <row r="63" spans="1:10" x14ac:dyDescent="0.25">
      <c r="A63">
        <v>1</v>
      </c>
      <c r="B63" t="s">
        <v>16</v>
      </c>
      <c r="C63" t="s">
        <v>22</v>
      </c>
      <c r="D63" t="b">
        <v>1</v>
      </c>
      <c r="E63">
        <v>2</v>
      </c>
      <c r="F63">
        <v>4</v>
      </c>
      <c r="G63" t="s">
        <v>28</v>
      </c>
      <c r="H63">
        <v>38</v>
      </c>
      <c r="I63" t="s">
        <v>29</v>
      </c>
    </row>
    <row r="64" spans="1:10" x14ac:dyDescent="0.25">
      <c r="A64">
        <v>1</v>
      </c>
      <c r="B64" t="s">
        <v>16</v>
      </c>
      <c r="C64" t="s">
        <v>22</v>
      </c>
      <c r="D64" t="b">
        <v>1</v>
      </c>
      <c r="E64">
        <v>3</v>
      </c>
      <c r="F64">
        <v>0</v>
      </c>
      <c r="G64" t="s">
        <v>28</v>
      </c>
      <c r="H64">
        <v>41</v>
      </c>
      <c r="I64" t="s">
        <v>29</v>
      </c>
    </row>
    <row r="65" spans="1:9" x14ac:dyDescent="0.25">
      <c r="A65">
        <v>1</v>
      </c>
      <c r="B65" t="s">
        <v>16</v>
      </c>
      <c r="C65" t="s">
        <v>22</v>
      </c>
      <c r="D65" t="b">
        <v>0</v>
      </c>
      <c r="E65">
        <v>4</v>
      </c>
      <c r="F65" t="s">
        <v>33</v>
      </c>
      <c r="G65" t="s">
        <v>28</v>
      </c>
      <c r="I65" t="s">
        <v>29</v>
      </c>
    </row>
    <row r="66" spans="1:9" x14ac:dyDescent="0.25">
      <c r="A66">
        <v>1</v>
      </c>
      <c r="B66" t="s">
        <v>16</v>
      </c>
      <c r="C66" t="s">
        <v>22</v>
      </c>
      <c r="D66" t="b">
        <v>0</v>
      </c>
      <c r="E66">
        <v>5</v>
      </c>
      <c r="F66">
        <v>5</v>
      </c>
      <c r="G66" t="s">
        <v>28</v>
      </c>
      <c r="I66" t="s">
        <v>29</v>
      </c>
    </row>
    <row r="67" spans="1:9" x14ac:dyDescent="0.25">
      <c r="A67">
        <v>1</v>
      </c>
      <c r="B67" t="s">
        <v>16</v>
      </c>
      <c r="C67" t="s">
        <v>22</v>
      </c>
      <c r="D67" t="b">
        <v>0</v>
      </c>
      <c r="E67">
        <v>6</v>
      </c>
      <c r="F67">
        <v>4</v>
      </c>
      <c r="G67" t="s">
        <v>28</v>
      </c>
      <c r="I67" t="s">
        <v>29</v>
      </c>
    </row>
    <row r="68" spans="1:9" x14ac:dyDescent="0.25">
      <c r="A68">
        <v>1</v>
      </c>
      <c r="B68" t="s">
        <v>17</v>
      </c>
      <c r="C68" t="s">
        <v>24</v>
      </c>
      <c r="D68" t="b">
        <v>1</v>
      </c>
      <c r="E68">
        <v>1</v>
      </c>
      <c r="F68">
        <v>4</v>
      </c>
      <c r="G68" t="s">
        <v>28</v>
      </c>
      <c r="H68">
        <v>26</v>
      </c>
      <c r="I68" t="s">
        <v>29</v>
      </c>
    </row>
    <row r="69" spans="1:9" x14ac:dyDescent="0.25">
      <c r="A69">
        <v>1</v>
      </c>
      <c r="B69" t="s">
        <v>17</v>
      </c>
      <c r="C69" t="s">
        <v>24</v>
      </c>
      <c r="D69" t="b">
        <v>1</v>
      </c>
      <c r="E69">
        <v>2</v>
      </c>
      <c r="F69">
        <v>1</v>
      </c>
      <c r="G69" t="s">
        <v>28</v>
      </c>
      <c r="H69">
        <v>35</v>
      </c>
      <c r="I69" t="s">
        <v>29</v>
      </c>
    </row>
    <row r="70" spans="1:9" x14ac:dyDescent="0.25">
      <c r="A70">
        <v>1</v>
      </c>
      <c r="B70" t="s">
        <v>17</v>
      </c>
      <c r="C70" t="s">
        <v>24</v>
      </c>
      <c r="D70" t="b">
        <v>1</v>
      </c>
      <c r="E70">
        <v>3</v>
      </c>
      <c r="F70">
        <v>0</v>
      </c>
      <c r="G70" t="s">
        <v>28</v>
      </c>
      <c r="H70">
        <v>14</v>
      </c>
      <c r="I70" t="s">
        <v>29</v>
      </c>
    </row>
    <row r="71" spans="1:9" x14ac:dyDescent="0.25">
      <c r="A71">
        <v>1</v>
      </c>
      <c r="B71" t="s">
        <v>17</v>
      </c>
      <c r="C71" t="s">
        <v>24</v>
      </c>
      <c r="D71" t="b">
        <v>0</v>
      </c>
      <c r="E71">
        <v>4</v>
      </c>
      <c r="F71">
        <v>3</v>
      </c>
      <c r="G71" t="s">
        <v>28</v>
      </c>
      <c r="I71" t="s">
        <v>29</v>
      </c>
    </row>
    <row r="72" spans="1:9" x14ac:dyDescent="0.25">
      <c r="A72">
        <v>1</v>
      </c>
      <c r="B72" t="s">
        <v>17</v>
      </c>
      <c r="C72" t="s">
        <v>24</v>
      </c>
      <c r="D72" t="b">
        <v>0</v>
      </c>
      <c r="E72">
        <v>5</v>
      </c>
      <c r="F72">
        <v>4</v>
      </c>
      <c r="G72" t="s">
        <v>28</v>
      </c>
      <c r="I72" t="s">
        <v>29</v>
      </c>
    </row>
    <row r="73" spans="1:9" x14ac:dyDescent="0.25">
      <c r="A73">
        <v>1</v>
      </c>
      <c r="B73" t="s">
        <v>17</v>
      </c>
      <c r="C73" t="s">
        <v>24</v>
      </c>
      <c r="D73" t="b">
        <v>0</v>
      </c>
      <c r="E73">
        <v>6</v>
      </c>
      <c r="F73">
        <v>5</v>
      </c>
      <c r="G73" t="s">
        <v>28</v>
      </c>
      <c r="I73" t="s">
        <v>29</v>
      </c>
    </row>
    <row r="74" spans="1:9" x14ac:dyDescent="0.25">
      <c r="A74">
        <v>1</v>
      </c>
    </row>
    <row r="75" spans="1:9" x14ac:dyDescent="0.25">
      <c r="A75">
        <v>1</v>
      </c>
    </row>
    <row r="76" spans="1:9" x14ac:dyDescent="0.25">
      <c r="A76">
        <v>1</v>
      </c>
    </row>
    <row r="77" spans="1:9" x14ac:dyDescent="0.25">
      <c r="A77">
        <v>1</v>
      </c>
    </row>
    <row r="78" spans="1:9" x14ac:dyDescent="0.25">
      <c r="A78">
        <v>1</v>
      </c>
    </row>
    <row r="79" spans="1:9" x14ac:dyDescent="0.25">
      <c r="A79">
        <v>1</v>
      </c>
    </row>
    <row r="80" spans="1:9" x14ac:dyDescent="0.25">
      <c r="A80">
        <v>1</v>
      </c>
    </row>
    <row r="81" spans="1:1" x14ac:dyDescent="0.25">
      <c r="A81">
        <v>1</v>
      </c>
    </row>
    <row r="82" spans="1:1" x14ac:dyDescent="0.25">
      <c r="A82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1</v>
      </c>
    </row>
    <row r="88" spans="1:1" x14ac:dyDescent="0.25">
      <c r="A88">
        <v>1</v>
      </c>
    </row>
    <row r="89" spans="1:1" x14ac:dyDescent="0.25">
      <c r="A89">
        <v>1</v>
      </c>
    </row>
    <row r="90" spans="1:1" x14ac:dyDescent="0.25">
      <c r="A90">
        <v>1</v>
      </c>
    </row>
    <row r="91" spans="1:1" x14ac:dyDescent="0.25">
      <c r="A91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1</v>
      </c>
    </row>
    <row r="95" spans="1:1" x14ac:dyDescent="0.25">
      <c r="A95">
        <v>1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1</v>
      </c>
    </row>
    <row r="99" spans="1:1" x14ac:dyDescent="0.25">
      <c r="A99"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A8CB-468E-1245-9E96-19837D94F7FC}">
  <dimension ref="A1:I18"/>
  <sheetViews>
    <sheetView zoomScale="115" zoomScaleNormal="115" workbookViewId="0">
      <selection activeCell="B2" sqref="B2"/>
    </sheetView>
  </sheetViews>
  <sheetFormatPr defaultColWidth="11" defaultRowHeight="15.75" x14ac:dyDescent="0.25"/>
  <sheetData>
    <row r="1" spans="1:9" x14ac:dyDescent="0.25">
      <c r="A1" t="s">
        <v>36</v>
      </c>
      <c r="B1" t="s">
        <v>46</v>
      </c>
      <c r="C1" t="s">
        <v>48</v>
      </c>
      <c r="D1" t="s">
        <v>47</v>
      </c>
      <c r="E1" t="s">
        <v>46</v>
      </c>
      <c r="F1" t="s">
        <v>50</v>
      </c>
      <c r="G1" t="s">
        <v>7</v>
      </c>
      <c r="H1" s="20" t="s">
        <v>46</v>
      </c>
      <c r="I1" s="20"/>
    </row>
    <row r="2" spans="1:9" ht="110.25" x14ac:dyDescent="0.25">
      <c r="A2">
        <v>1</v>
      </c>
      <c r="B2">
        <v>28</v>
      </c>
      <c r="D2" t="s">
        <v>37</v>
      </c>
      <c r="E2">
        <v>0</v>
      </c>
      <c r="F2" s="18" t="s">
        <v>51</v>
      </c>
      <c r="G2" s="20" t="s">
        <v>49</v>
      </c>
      <c r="H2" s="20">
        <v>107</v>
      </c>
      <c r="I2" s="20"/>
    </row>
    <row r="3" spans="1:9" x14ac:dyDescent="0.25">
      <c r="A3">
        <v>2</v>
      </c>
      <c r="B3">
        <v>25</v>
      </c>
      <c r="D3" t="s">
        <v>38</v>
      </c>
      <c r="E3">
        <v>0</v>
      </c>
      <c r="F3" t="s">
        <v>7</v>
      </c>
    </row>
    <row r="4" spans="1:9" x14ac:dyDescent="0.25">
      <c r="A4">
        <v>3</v>
      </c>
      <c r="B4">
        <v>19</v>
      </c>
      <c r="D4" t="s">
        <v>39</v>
      </c>
      <c r="E4">
        <v>0</v>
      </c>
      <c r="F4" t="s">
        <v>7</v>
      </c>
    </row>
    <row r="5" spans="1:9" x14ac:dyDescent="0.25">
      <c r="A5">
        <v>4</v>
      </c>
      <c r="B5">
        <v>32</v>
      </c>
      <c r="D5" t="s">
        <v>40</v>
      </c>
      <c r="E5">
        <v>28</v>
      </c>
    </row>
    <row r="6" spans="1:9" x14ac:dyDescent="0.25">
      <c r="A6">
        <v>5</v>
      </c>
      <c r="B6">
        <v>17</v>
      </c>
      <c r="D6" t="s">
        <v>41</v>
      </c>
      <c r="E6">
        <v>32</v>
      </c>
    </row>
    <row r="7" spans="1:9" x14ac:dyDescent="0.25">
      <c r="A7">
        <v>6</v>
      </c>
      <c r="B7">
        <v>4</v>
      </c>
      <c r="D7" t="s">
        <v>42</v>
      </c>
      <c r="E7">
        <v>0</v>
      </c>
      <c r="F7" t="s">
        <v>7</v>
      </c>
    </row>
    <row r="8" spans="1:9" x14ac:dyDescent="0.25">
      <c r="A8">
        <v>7</v>
      </c>
      <c r="B8">
        <v>37</v>
      </c>
      <c r="D8" t="s">
        <v>43</v>
      </c>
      <c r="E8">
        <v>54</v>
      </c>
    </row>
    <row r="9" spans="1:9" x14ac:dyDescent="0.25">
      <c r="A9">
        <v>8</v>
      </c>
      <c r="B9">
        <v>16</v>
      </c>
      <c r="D9" t="s">
        <v>44</v>
      </c>
      <c r="E9">
        <v>0</v>
      </c>
      <c r="F9" t="s">
        <v>7</v>
      </c>
    </row>
    <row r="10" spans="1:9" x14ac:dyDescent="0.25">
      <c r="A10">
        <v>9</v>
      </c>
      <c r="B10">
        <v>21</v>
      </c>
      <c r="D10" t="s">
        <v>45</v>
      </c>
      <c r="E10">
        <v>25</v>
      </c>
    </row>
    <row r="11" spans="1:9" x14ac:dyDescent="0.25">
      <c r="A11">
        <v>10</v>
      </c>
      <c r="B11">
        <v>22</v>
      </c>
    </row>
    <row r="12" spans="1:9" x14ac:dyDescent="0.25">
      <c r="A12">
        <v>11</v>
      </c>
      <c r="B12">
        <v>12</v>
      </c>
    </row>
    <row r="13" spans="1:9" x14ac:dyDescent="0.25">
      <c r="A13">
        <v>12</v>
      </c>
      <c r="C13" t="s">
        <v>7</v>
      </c>
    </row>
    <row r="14" spans="1:9" x14ac:dyDescent="0.25">
      <c r="A14">
        <v>13</v>
      </c>
      <c r="B14">
        <v>0</v>
      </c>
    </row>
    <row r="15" spans="1:9" x14ac:dyDescent="0.25">
      <c r="A15">
        <v>14</v>
      </c>
      <c r="B15">
        <v>17</v>
      </c>
    </row>
    <row r="16" spans="1:9" x14ac:dyDescent="0.25">
      <c r="A16">
        <v>15</v>
      </c>
      <c r="B16">
        <v>3</v>
      </c>
    </row>
    <row r="17" spans="1:2" x14ac:dyDescent="0.25">
      <c r="A17">
        <v>16</v>
      </c>
      <c r="B17">
        <v>9</v>
      </c>
    </row>
    <row r="18" spans="1:2" x14ac:dyDescent="0.25">
      <c r="A18">
        <v>17</v>
      </c>
      <c r="B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block 2</vt:lpstr>
      <vt:lpstr>day 1 feb 3</vt:lpstr>
      <vt:lpstr>counts 2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Mendelson, Alex</dc:creator>
  <cp:lastModifiedBy>Mendelson, Alex</cp:lastModifiedBy>
  <dcterms:created xsi:type="dcterms:W3CDTF">2026-02-03T00:43:25Z</dcterms:created>
  <dcterms:modified xsi:type="dcterms:W3CDTF">2026-03-30T20:04:01Z</dcterms:modified>
</cp:coreProperties>
</file>